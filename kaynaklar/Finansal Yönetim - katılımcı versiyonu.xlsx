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ucahit/Desktop/EXECUTIVE MBA/Finans/"/>
    </mc:Choice>
  </mc:AlternateContent>
  <xr:revisionPtr revIDLastSave="0" documentId="13_ncr:1_{67D52560-8853-E243-BA23-989321B387E2}" xr6:coauthVersionLast="47" xr6:coauthVersionMax="47" xr10:uidLastSave="{00000000-0000-0000-0000-000000000000}"/>
  <bookViews>
    <workbookView xWindow="1000" yWindow="880" windowWidth="28760" windowHeight="21360" activeTab="4" xr2:uid="{00000000-000D-0000-FFFF-FFFF00000000}"/>
  </bookViews>
  <sheets>
    <sheet name="Bilanço" sheetId="4" r:id="rId1"/>
    <sheet name="Gelir Tablosu" sheetId="5" r:id="rId2"/>
    <sheet name="Verimsiz A.Ş." sheetId="15" r:id="rId3"/>
    <sheet name="Pide A.Ş." sheetId="17" r:id="rId4"/>
    <sheet name="Paranın zaman değeri" sheetId="8" r:id="rId5"/>
    <sheet name="Oyuncak A.Ş." sheetId="7" r:id="rId6"/>
    <sheet name="Proje alternatifleri " sheetId="6" r:id="rId7"/>
    <sheet name="Lamba Projesi" sheetId="11" r:id="rId8"/>
    <sheet name="Yazıcı projesi" sheetId="1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8" l="1"/>
  <c r="C6" i="8"/>
  <c r="B21" i="11"/>
  <c r="B20" i="11"/>
  <c r="C18" i="11"/>
  <c r="D18" i="11"/>
  <c r="E18" i="11"/>
  <c r="F18" i="11"/>
  <c r="B18" i="11"/>
  <c r="G18" i="11"/>
  <c r="G15" i="11"/>
  <c r="D15" i="11"/>
  <c r="E15" i="11"/>
  <c r="F15" i="11"/>
  <c r="C15" i="11"/>
  <c r="G14" i="11"/>
  <c r="C14" i="11"/>
  <c r="D14" i="11"/>
  <c r="E14" i="11"/>
  <c r="F14" i="11"/>
  <c r="B14" i="11"/>
  <c r="D13" i="11"/>
  <c r="E13" i="11"/>
  <c r="F13" i="11"/>
  <c r="G13" i="11"/>
  <c r="C13" i="11"/>
  <c r="D12" i="11"/>
  <c r="E12" i="11"/>
  <c r="F12" i="11"/>
  <c r="G12" i="11"/>
  <c r="C12" i="11"/>
  <c r="D11" i="11"/>
  <c r="E11" i="11"/>
  <c r="F11" i="11"/>
  <c r="G11" i="11"/>
  <c r="C11" i="11"/>
  <c r="H10" i="11"/>
  <c r="D10" i="11"/>
  <c r="E10" i="11"/>
  <c r="F10" i="11"/>
  <c r="G10" i="11"/>
  <c r="C10" i="11"/>
  <c r="D9" i="11"/>
  <c r="E9" i="11"/>
  <c r="F9" i="11"/>
  <c r="G9" i="11"/>
  <c r="C9" i="11"/>
  <c r="D6" i="11"/>
  <c r="E6" i="11"/>
  <c r="F6" i="11"/>
  <c r="G6" i="11"/>
  <c r="C6" i="11"/>
  <c r="D5" i="11"/>
  <c r="D4" i="11"/>
  <c r="E4" i="11"/>
  <c r="F4" i="11"/>
  <c r="G4" i="11"/>
  <c r="C4" i="11"/>
  <c r="D3" i="11"/>
  <c r="B28" i="6"/>
  <c r="H15" i="6"/>
  <c r="D15" i="6"/>
  <c r="E15" i="6"/>
  <c r="F15" i="6"/>
  <c r="G15" i="6"/>
  <c r="C15" i="6"/>
  <c r="C15" i="7"/>
  <c r="D14" i="6"/>
  <c r="E14" i="6"/>
  <c r="F14" i="6"/>
  <c r="G14" i="6"/>
  <c r="H14" i="6"/>
  <c r="C14" i="6"/>
  <c r="C14" i="7"/>
  <c r="G32" i="15"/>
  <c r="H27" i="15"/>
  <c r="I27" i="15"/>
  <c r="G27" i="15"/>
  <c r="H24" i="15"/>
  <c r="I24" i="15"/>
  <c r="G24" i="15"/>
  <c r="C31" i="15"/>
  <c r="D31" i="15"/>
  <c r="B31" i="15"/>
  <c r="C30" i="15"/>
  <c r="D30" i="15"/>
  <c r="B30" i="15"/>
  <c r="H18" i="15"/>
  <c r="I18" i="15"/>
  <c r="G18" i="15"/>
  <c r="H16" i="15"/>
  <c r="I16" i="15"/>
  <c r="G16" i="15"/>
  <c r="H15" i="15"/>
  <c r="I15" i="15"/>
  <c r="G15" i="15"/>
  <c r="H12" i="15"/>
  <c r="I12" i="15"/>
  <c r="G12" i="15"/>
  <c r="H9" i="15"/>
  <c r="I9" i="15"/>
  <c r="G9" i="15"/>
  <c r="I11" i="15"/>
  <c r="H11" i="15"/>
  <c r="G11" i="15"/>
  <c r="H10" i="15"/>
  <c r="I10" i="15"/>
  <c r="G10" i="15"/>
  <c r="H8" i="15"/>
  <c r="I8" i="15"/>
  <c r="G8" i="15"/>
  <c r="H6" i="15"/>
  <c r="I6" i="15"/>
  <c r="G6" i="15"/>
  <c r="I5" i="15"/>
  <c r="H5" i="15"/>
  <c r="G5" i="15"/>
  <c r="H4" i="15"/>
  <c r="I4" i="15"/>
  <c r="G4" i="15"/>
  <c r="H3" i="15"/>
  <c r="I3" i="15"/>
  <c r="G3" i="15"/>
  <c r="U15" i="4"/>
  <c r="U7" i="4"/>
  <c r="D13" i="5"/>
  <c r="D12" i="5"/>
  <c r="G9" i="4"/>
  <c r="B5" i="5"/>
  <c r="B7" i="5" s="1"/>
  <c r="B11" i="5" s="1"/>
  <c r="F17" i="4"/>
  <c r="B12" i="5" l="1"/>
  <c r="B13" i="5" s="1"/>
  <c r="F12" i="8"/>
  <c r="B14" i="16" l="1"/>
  <c r="G6" i="16"/>
  <c r="F6" i="16"/>
  <c r="E6" i="16"/>
  <c r="D6" i="16"/>
  <c r="C6" i="16"/>
  <c r="G4" i="16"/>
  <c r="F4" i="16"/>
  <c r="F5" i="16" s="1"/>
  <c r="F8" i="16" s="1"/>
  <c r="F9" i="16" s="1"/>
  <c r="F14" i="16" s="1"/>
  <c r="E4" i="16"/>
  <c r="E5" i="16" s="1"/>
  <c r="D4" i="16"/>
  <c r="D5" i="16" s="1"/>
  <c r="C4" i="16"/>
  <c r="E8" i="16" l="1"/>
  <c r="E9" i="16" s="1"/>
  <c r="E14" i="16" s="1"/>
  <c r="D8" i="16"/>
  <c r="D9" i="16" s="1"/>
  <c r="D14" i="16" s="1"/>
  <c r="G5" i="16"/>
  <c r="G8" i="16" s="1"/>
  <c r="G9" i="16" s="1"/>
  <c r="G14" i="16" s="1"/>
  <c r="C5" i="16"/>
  <c r="C8" i="16" s="1"/>
  <c r="C9" i="16" s="1"/>
  <c r="C14" i="16" s="1"/>
  <c r="B16" i="16" s="1"/>
  <c r="D19" i="15" l="1"/>
  <c r="D21" i="15" s="1"/>
  <c r="C19" i="15"/>
  <c r="C21" i="15" s="1"/>
  <c r="B19" i="15"/>
  <c r="B21" i="15" s="1"/>
  <c r="U9" i="15" l="1"/>
  <c r="D23" i="15"/>
  <c r="D25" i="15" s="1"/>
  <c r="C23" i="15"/>
  <c r="C25" i="15" s="1"/>
  <c r="B23" i="15"/>
  <c r="B25" i="15" s="1"/>
  <c r="D15" i="15"/>
  <c r="C15" i="15"/>
  <c r="B15" i="15"/>
  <c r="D8" i="15"/>
  <c r="C8" i="15"/>
  <c r="B8" i="15"/>
  <c r="B3" i="4" l="1"/>
  <c r="E9" i="4" l="1"/>
  <c r="F9" i="4" s="1"/>
  <c r="I9" i="4" s="1"/>
  <c r="J9" i="4" s="1"/>
  <c r="K9" i="4" s="1"/>
  <c r="E4" i="4" l="1"/>
  <c r="O13" i="4"/>
  <c r="P13" i="4" s="1"/>
  <c r="Q13" i="4" s="1"/>
  <c r="R13" i="4" s="1"/>
  <c r="S13" i="4" s="1"/>
  <c r="T13" i="4" s="1"/>
  <c r="U13" i="4" s="1"/>
  <c r="V13" i="4" s="1"/>
  <c r="W13" i="4" s="1"/>
  <c r="O14" i="4"/>
  <c r="P14" i="4" s="1"/>
  <c r="Q14" i="4" s="1"/>
  <c r="R14" i="4" s="1"/>
  <c r="S14" i="4" s="1"/>
  <c r="T14" i="4" s="1"/>
  <c r="U14" i="4" s="1"/>
  <c r="V14" i="4" s="1"/>
  <c r="O15" i="4"/>
  <c r="P15" i="4" s="1"/>
  <c r="Q15" i="4" s="1"/>
  <c r="R15" i="4" s="1"/>
  <c r="S15" i="4" s="1"/>
  <c r="T15" i="4" s="1"/>
  <c r="W15" i="4" s="1"/>
  <c r="O16" i="4"/>
  <c r="P16" i="4" s="1"/>
  <c r="Q16" i="4" s="1"/>
  <c r="V16" i="4" s="1"/>
  <c r="W16" i="4" s="1"/>
  <c r="O12" i="4"/>
  <c r="P12" i="4" s="1"/>
  <c r="Q12" i="4" s="1"/>
  <c r="R12" i="4" s="1"/>
  <c r="S12" i="4" s="1"/>
  <c r="T12" i="4" s="1"/>
  <c r="U12" i="4" s="1"/>
  <c r="O10" i="4"/>
  <c r="P10" i="4" s="1"/>
  <c r="Q10" i="4" s="1"/>
  <c r="R10" i="4" s="1"/>
  <c r="S10" i="4" s="1"/>
  <c r="T10" i="4" s="1"/>
  <c r="U10" i="4" s="1"/>
  <c r="V10" i="4" s="1"/>
  <c r="W10" i="4" s="1"/>
  <c r="O9" i="4"/>
  <c r="P9" i="4" s="1"/>
  <c r="O5" i="4"/>
  <c r="O6" i="4"/>
  <c r="P6" i="4" s="1"/>
  <c r="Q6" i="4" s="1"/>
  <c r="O7" i="4"/>
  <c r="P7" i="4" s="1"/>
  <c r="Q7" i="4" s="1"/>
  <c r="R7" i="4" s="1"/>
  <c r="S7" i="4" s="1"/>
  <c r="T7" i="4" s="1"/>
  <c r="W7" i="4" s="1"/>
  <c r="O4" i="4"/>
  <c r="P4" i="4" s="1"/>
  <c r="Q4" i="4" s="1"/>
  <c r="R4" i="4" s="1"/>
  <c r="S4" i="4" s="1"/>
  <c r="T4" i="4" s="1"/>
  <c r="U4" i="4" s="1"/>
  <c r="V4" i="4" s="1"/>
  <c r="W4" i="4" s="1"/>
  <c r="C17" i="4"/>
  <c r="D17" i="4" s="1"/>
  <c r="C16" i="4"/>
  <c r="C13" i="4"/>
  <c r="D13" i="4" s="1"/>
  <c r="E13" i="4" s="1"/>
  <c r="F13" i="4" s="1"/>
  <c r="D12" i="4"/>
  <c r="E12" i="4" s="1"/>
  <c r="F12" i="4" s="1"/>
  <c r="G12" i="4" s="1"/>
  <c r="H12" i="4" s="1"/>
  <c r="I12" i="4" s="1"/>
  <c r="J12" i="4" s="1"/>
  <c r="C5" i="4"/>
  <c r="C6" i="4"/>
  <c r="D6" i="4" s="1"/>
  <c r="F6" i="4" s="1"/>
  <c r="G6" i="4" s="1"/>
  <c r="H6" i="4" s="1"/>
  <c r="I6" i="4" s="1"/>
  <c r="J6" i="4" s="1"/>
  <c r="K6" i="4" s="1"/>
  <c r="C7" i="4"/>
  <c r="D7" i="4" s="1"/>
  <c r="E7" i="4" s="1"/>
  <c r="G7" i="4" s="1"/>
  <c r="I7" i="4" s="1"/>
  <c r="J7" i="4" s="1"/>
  <c r="K7" i="4" s="1"/>
  <c r="C8" i="4"/>
  <c r="E8" i="4" s="1"/>
  <c r="G8" i="4" s="1"/>
  <c r="I8" i="4" s="1"/>
  <c r="J8" i="4" s="1"/>
  <c r="K8" i="4" s="1"/>
  <c r="I13" i="4" l="1"/>
  <c r="V6" i="4"/>
  <c r="W6" i="4" s="1"/>
  <c r="G17" i="4"/>
  <c r="H17" i="4" s="1"/>
  <c r="I17" i="4" s="1"/>
  <c r="J17" i="4" s="1"/>
  <c r="K17" i="4" s="1"/>
  <c r="Q5" i="4"/>
  <c r="R5" i="4" s="1"/>
  <c r="S5" i="4" s="1"/>
  <c r="U5" i="4" s="1"/>
  <c r="C3" i="4"/>
  <c r="K12" i="4"/>
  <c r="R9" i="4"/>
  <c r="S9" i="4" s="1"/>
  <c r="U9" i="4" s="1"/>
  <c r="D16" i="4"/>
  <c r="E16" i="4" s="1"/>
  <c r="F16" i="4" s="1"/>
  <c r="G16" i="4" s="1"/>
  <c r="I16" i="4" s="1"/>
  <c r="J16" i="4" s="1"/>
  <c r="K16" i="4" s="1"/>
  <c r="C14" i="4"/>
  <c r="D15" i="4"/>
  <c r="E15" i="4" s="1"/>
  <c r="F15" i="4" s="1"/>
  <c r="G15" i="4" s="1"/>
  <c r="H15" i="4" s="1"/>
  <c r="I15" i="4" s="1"/>
  <c r="J15" i="4" s="1"/>
  <c r="U11" i="4"/>
  <c r="V5" i="4" l="1"/>
  <c r="U3" i="4"/>
  <c r="J13" i="4"/>
  <c r="I11" i="4"/>
  <c r="V11" i="4"/>
  <c r="E5" i="4"/>
  <c r="D3" i="4"/>
  <c r="U8" i="4"/>
  <c r="V9" i="4"/>
  <c r="K15" i="4"/>
  <c r="K14" i="4" s="1"/>
  <c r="J14" i="4"/>
  <c r="W11" i="4"/>
  <c r="I14" i="4"/>
  <c r="H14" i="4"/>
  <c r="G14" i="4"/>
  <c r="F14" i="4"/>
  <c r="E14" i="4"/>
  <c r="D14" i="4"/>
  <c r="B14" i="4"/>
  <c r="H11" i="4"/>
  <c r="G11" i="4"/>
  <c r="F11" i="4"/>
  <c r="E11" i="4"/>
  <c r="D11" i="4"/>
  <c r="C11" i="4"/>
  <c r="B11" i="4"/>
  <c r="I10" i="4" l="1"/>
  <c r="U2" i="4"/>
  <c r="K13" i="4"/>
  <c r="K11" i="4" s="1"/>
  <c r="K10" i="4" s="1"/>
  <c r="J11" i="4"/>
  <c r="J10" i="4" s="1"/>
  <c r="W5" i="4"/>
  <c r="W3" i="4" s="1"/>
  <c r="V3" i="4"/>
  <c r="E3" i="4"/>
  <c r="W9" i="4"/>
  <c r="W8" i="4" s="1"/>
  <c r="V8" i="4"/>
  <c r="I16" i="8"/>
  <c r="I12" i="8"/>
  <c r="C3" i="8"/>
  <c r="F3" i="8"/>
  <c r="I3" i="8"/>
  <c r="C12" i="8"/>
  <c r="C10" i="7"/>
  <c r="H10" i="6"/>
  <c r="G10" i="6"/>
  <c r="F10" i="6"/>
  <c r="E10" i="6"/>
  <c r="D10" i="6"/>
  <c r="C10" i="6"/>
  <c r="W2" i="4" l="1"/>
  <c r="V2" i="4"/>
  <c r="G5" i="4"/>
  <c r="F3" i="4"/>
  <c r="T11" i="4"/>
  <c r="T8" i="4"/>
  <c r="T3" i="4"/>
  <c r="O3" i="4"/>
  <c r="P3" i="4"/>
  <c r="Q3" i="4"/>
  <c r="R3" i="4"/>
  <c r="S3" i="4"/>
  <c r="O8" i="4"/>
  <c r="P8" i="4"/>
  <c r="Q8" i="4"/>
  <c r="R8" i="4"/>
  <c r="S8" i="4"/>
  <c r="O11" i="4"/>
  <c r="P11" i="4"/>
  <c r="Q11" i="4"/>
  <c r="R11" i="4"/>
  <c r="S11" i="4"/>
  <c r="N11" i="4"/>
  <c r="N8" i="4"/>
  <c r="N3" i="4"/>
  <c r="H10" i="4" l="1"/>
  <c r="O2" i="4"/>
  <c r="N2" i="4"/>
  <c r="P2" i="4"/>
  <c r="R2" i="4"/>
  <c r="T2" i="4"/>
  <c r="S2" i="4"/>
  <c r="Q2" i="4"/>
  <c r="H4" i="4" l="1"/>
  <c r="H3" i="4" s="1"/>
  <c r="I5" i="4"/>
  <c r="I4" i="4" s="1"/>
  <c r="F10" i="4"/>
  <c r="F2" i="4" s="1"/>
  <c r="E10" i="4"/>
  <c r="E2" i="4" s="1"/>
  <c r="B10" i="4"/>
  <c r="B2" i="4" s="1"/>
  <c r="G10" i="4"/>
  <c r="G4" i="4" s="1"/>
  <c r="G3" i="4" s="1"/>
  <c r="C10" i="4"/>
  <c r="C2" i="4" s="1"/>
  <c r="D10" i="4"/>
  <c r="D2" i="4" s="1"/>
  <c r="J5" i="4" l="1"/>
  <c r="J4" i="4" s="1"/>
  <c r="I3" i="4"/>
  <c r="G2" i="4"/>
  <c r="K5" i="4" l="1"/>
  <c r="J3" i="4"/>
  <c r="J2" i="4" s="1"/>
  <c r="I2" i="4"/>
  <c r="H2" i="4"/>
  <c r="K4" i="4" l="1"/>
  <c r="K3" i="4" s="1"/>
  <c r="K2" i="4" s="1"/>
</calcChain>
</file>

<file path=xl/sharedStrings.xml><?xml version="1.0" encoding="utf-8"?>
<sst xmlns="http://schemas.openxmlformats.org/spreadsheetml/2006/main" count="347" uniqueCount="263">
  <si>
    <t>NPV</t>
  </si>
  <si>
    <t>IRR</t>
  </si>
  <si>
    <t>(x1.000)</t>
  </si>
  <si>
    <t>Pide A.Ş.</t>
  </si>
  <si>
    <t>Vaka I</t>
  </si>
  <si>
    <t>Vaka II</t>
  </si>
  <si>
    <t>Vaka III</t>
  </si>
  <si>
    <t>Vaka IV</t>
  </si>
  <si>
    <t>Vaka V</t>
  </si>
  <si>
    <t>Vaka VI</t>
  </si>
  <si>
    <t>Vaka VII</t>
  </si>
  <si>
    <t xml:space="preserve">   Dönen Varlıklar        </t>
  </si>
  <si>
    <t xml:space="preserve">      Nakit          </t>
  </si>
  <si>
    <t xml:space="preserve">      Bankalar    </t>
  </si>
  <si>
    <t xml:space="preserve">      Menkul Kıymetler</t>
  </si>
  <si>
    <t xml:space="preserve">      Ticari Alacaklar           </t>
  </si>
  <si>
    <t xml:space="preserve">      Stoklar  </t>
  </si>
  <si>
    <t xml:space="preserve">      Peşin Ödenen Giderler   </t>
  </si>
  <si>
    <r>
      <t xml:space="preserve">   </t>
    </r>
    <r>
      <rPr>
        <b/>
        <sz val="11"/>
        <color rgb="FF000000"/>
        <rFont val="Calibri"/>
        <family val="2"/>
        <charset val="162"/>
        <scheme val="minor"/>
      </rPr>
      <t>Duran Varlıklar</t>
    </r>
    <r>
      <rPr>
        <sz val="10"/>
        <color rgb="FF000000"/>
        <rFont val="Calibri"/>
        <family val="2"/>
        <charset val="162"/>
        <scheme val="minor"/>
      </rPr>
      <t xml:space="preserve">         </t>
    </r>
  </si>
  <si>
    <t xml:space="preserve">      Maddi Duran Varlıklar (Net)       </t>
  </si>
  <si>
    <t xml:space="preserve">         M.D. Varlıklar (Brüt)</t>
  </si>
  <si>
    <t xml:space="preserve">         Birikmiş Amortisman (-)  </t>
  </si>
  <si>
    <t xml:space="preserve">      Maddi Olmayan D. V. (Net)       </t>
  </si>
  <si>
    <t xml:space="preserve">         M.O.D. Varlıklar (Brüt)</t>
  </si>
  <si>
    <t xml:space="preserve">         B. İtfa/Tükenme Payı (-)  </t>
  </si>
  <si>
    <t xml:space="preserve">      Finansal Varlıklar</t>
  </si>
  <si>
    <t>Varlıklar</t>
  </si>
  <si>
    <t>Kaynaklar</t>
  </si>
  <si>
    <t xml:space="preserve">   Kısa Vadeli Yükümlülükler</t>
  </si>
  <si>
    <t xml:space="preserve">      Finansal Borçlar</t>
  </si>
  <si>
    <t xml:space="preserve">      Ticari Borçlar    </t>
  </si>
  <si>
    <t xml:space="preserve">      Ödenecek Vergiler </t>
  </si>
  <si>
    <t xml:space="preserve">      Ödenecek Temettü</t>
  </si>
  <si>
    <t xml:space="preserve">   Uzun Vadeli Yükümlülükler</t>
  </si>
  <si>
    <t xml:space="preserve">      Kıdem Tazminatı Karşılığı</t>
  </si>
  <si>
    <t xml:space="preserve">   Özsermaye</t>
  </si>
  <si>
    <t xml:space="preserve">      Ödenmiş Sermaye</t>
  </si>
  <si>
    <t xml:space="preserve">      Geri Alınmış Paylar (-)</t>
  </si>
  <si>
    <t xml:space="preserve">      Hisse İhraç Primleri</t>
  </si>
  <si>
    <t xml:space="preserve">      Yedekler</t>
  </si>
  <si>
    <t xml:space="preserve">      Dönem Karı     </t>
  </si>
  <si>
    <t>Net Satışlar</t>
  </si>
  <si>
    <t>Satılan Malın Maliyeti (-)</t>
  </si>
  <si>
    <t>Brüt Kar</t>
  </si>
  <si>
    <t>Faaliyet Giderleri (-)</t>
  </si>
  <si>
    <t>Faaliyet Karı (FVÖK)</t>
  </si>
  <si>
    <t>Diğer Gelirler</t>
  </si>
  <si>
    <t>Diğer Giderler (-)</t>
  </si>
  <si>
    <t>Finansal Giderler (-)</t>
  </si>
  <si>
    <t>Vergi Öncesi Kar (VÖK)</t>
  </si>
  <si>
    <t>Vergi Karşılığı (-)</t>
  </si>
  <si>
    <t>Net Dönem Karı</t>
  </si>
  <si>
    <t xml:space="preserve">Yıl </t>
  </si>
  <si>
    <t xml:space="preserve">Proje A </t>
  </si>
  <si>
    <t xml:space="preserve">Proje B </t>
  </si>
  <si>
    <t xml:space="preserve">Proje C </t>
  </si>
  <si>
    <t xml:space="preserve">Proje D </t>
  </si>
  <si>
    <t xml:space="preserve">Proje E </t>
  </si>
  <si>
    <t xml:space="preserve">Proje F </t>
  </si>
  <si>
    <t xml:space="preserve">Toplam nakit akımı </t>
  </si>
  <si>
    <t xml:space="preserve">Sermaye maliyeti </t>
  </si>
  <si>
    <t>Geri ödeme (sene)</t>
  </si>
  <si>
    <t>Oyuncak</t>
  </si>
  <si>
    <t>Ara ödemeler</t>
  </si>
  <si>
    <t>Ödeme sayısı</t>
  </si>
  <si>
    <t>Gelecekteki değer</t>
  </si>
  <si>
    <t>Dönem sayısı</t>
  </si>
  <si>
    <t>Dönem faizi</t>
  </si>
  <si>
    <t>Bugünkü değer</t>
  </si>
  <si>
    <t>Faiz</t>
  </si>
  <si>
    <t>Anapara</t>
  </si>
  <si>
    <t>Bugünkü değer (PV)</t>
  </si>
  <si>
    <t>Gelecek değer (FV)</t>
  </si>
  <si>
    <t>Bileşik Faiz</t>
  </si>
  <si>
    <t>Basit Faiz</t>
  </si>
  <si>
    <t>Vaka VIII</t>
  </si>
  <si>
    <t>İçverim Oranı</t>
  </si>
  <si>
    <t>NBD</t>
  </si>
  <si>
    <t>Yeni SNA</t>
  </si>
  <si>
    <t>Yeni FVÖK - vergi</t>
  </si>
  <si>
    <t>Yeni FVÖK</t>
  </si>
  <si>
    <t>Yeni FAVÖK</t>
  </si>
  <si>
    <t>Yeni FAVÖK Marjı</t>
  </si>
  <si>
    <t>FAVÖK Marjı</t>
  </si>
  <si>
    <t>FVÖK Marjı</t>
  </si>
  <si>
    <t xml:space="preserve">İçverim Oranı </t>
  </si>
  <si>
    <t xml:space="preserve">Net Bugünkü Değer </t>
  </si>
  <si>
    <t xml:space="preserve">Sermaye Maliyeti </t>
  </si>
  <si>
    <t xml:space="preserve">Serbest Nakit Akımları </t>
  </si>
  <si>
    <t>Hurda Değeri (+)</t>
  </si>
  <si>
    <t>Sabit Kıymet Yatırımı (-)</t>
  </si>
  <si>
    <t>İ.S. İhtiyacı Değişimi (-)</t>
  </si>
  <si>
    <t xml:space="preserve">İşletme Sermayesi İhtiyacı </t>
  </si>
  <si>
    <t>Amortisman (+)</t>
  </si>
  <si>
    <t xml:space="preserve">FVÖK – Vergi </t>
  </si>
  <si>
    <t>Vergi (40%)</t>
  </si>
  <si>
    <t xml:space="preserve">FVÖK </t>
  </si>
  <si>
    <t xml:space="preserve">Toplam giderler </t>
  </si>
  <si>
    <t xml:space="preserve">Amortisman </t>
  </si>
  <si>
    <t xml:space="preserve">Kira geliri kaybı </t>
  </si>
  <si>
    <t xml:space="preserve">Toplam değişken masraflar </t>
  </si>
  <si>
    <t xml:space="preserve">Hammadde, işçilik ve enerji  </t>
  </si>
  <si>
    <t xml:space="preserve">Toplam satış </t>
  </si>
  <si>
    <t xml:space="preserve">Ürün fiyatı </t>
  </si>
  <si>
    <t xml:space="preserve">Satış adedi </t>
  </si>
  <si>
    <t xml:space="preserve">Sene 5 </t>
  </si>
  <si>
    <t xml:space="preserve">Sene 4 </t>
  </si>
  <si>
    <t xml:space="preserve">Sene 3 </t>
  </si>
  <si>
    <t xml:space="preserve">Sene 2 </t>
  </si>
  <si>
    <t xml:space="preserve">Sene 1 </t>
  </si>
  <si>
    <t xml:space="preserve">Şimdi  </t>
  </si>
  <si>
    <t>Nakit</t>
  </si>
  <si>
    <t>Faaliyet kar marjı</t>
  </si>
  <si>
    <t>Ticari Alacaklar</t>
  </si>
  <si>
    <t>İşletme Sermayesi</t>
  </si>
  <si>
    <t>Sermaye devir hızı</t>
  </si>
  <si>
    <t>Stoklar</t>
  </si>
  <si>
    <t>Duran Varlıklar</t>
  </si>
  <si>
    <t>Faaliyet karlılığı</t>
  </si>
  <si>
    <t>Peşin Ödenen Giderler</t>
  </si>
  <si>
    <t>Yatırılan Kaynak</t>
  </si>
  <si>
    <t>Faiz etkisi</t>
  </si>
  <si>
    <t>Finansal kaldıraç</t>
  </si>
  <si>
    <t>Toplam Aktifler</t>
  </si>
  <si>
    <t>Kısa Vadeli Krediler</t>
  </si>
  <si>
    <t>Vergi etkisi</t>
  </si>
  <si>
    <t>Uzun Vadeli Finansman</t>
  </si>
  <si>
    <t xml:space="preserve">Özsermaye karlılığı </t>
  </si>
  <si>
    <t xml:space="preserve">    Uzun Vadeli Krediler</t>
  </si>
  <si>
    <t>Ticari Borçlar</t>
  </si>
  <si>
    <t xml:space="preserve">    Özsermaye</t>
  </si>
  <si>
    <t>Ödenecek Giderler</t>
  </si>
  <si>
    <t>Kullanılan Kaynak</t>
  </si>
  <si>
    <t>Tahsilat süresi</t>
  </si>
  <si>
    <t>T.Alacak</t>
  </si>
  <si>
    <t>Uzun Vadeli Krediler</t>
  </si>
  <si>
    <t>Ödeme süresi</t>
  </si>
  <si>
    <t>T.Borç</t>
  </si>
  <si>
    <t>Özsermaye</t>
  </si>
  <si>
    <t xml:space="preserve">Stok devir hızı </t>
  </si>
  <si>
    <t>Stok</t>
  </si>
  <si>
    <t>Toplam Pasifler</t>
  </si>
  <si>
    <t>Değişim</t>
  </si>
  <si>
    <t>Satılan Malın Maliyeti</t>
  </si>
  <si>
    <t>- Satılan Malın Maliyeti</t>
  </si>
  <si>
    <t>Faaliyet Giderleri</t>
  </si>
  <si>
    <t>- Faaliyet Giderleri</t>
  </si>
  <si>
    <t>Amortisman Gideri</t>
  </si>
  <si>
    <t>- Vergi Gideri</t>
  </si>
  <si>
    <t>FVÖK</t>
  </si>
  <si>
    <t>Karlılık Bileşeni</t>
  </si>
  <si>
    <t>Net Faiz Gideri</t>
  </si>
  <si>
    <t>- İşletme Sermayesi Değişimi</t>
  </si>
  <si>
    <t>VÖK</t>
  </si>
  <si>
    <t>Yatırım Bileşeni</t>
  </si>
  <si>
    <t>Vergi Gideri</t>
  </si>
  <si>
    <t>Faaliyetlerden Nakit Akımı</t>
  </si>
  <si>
    <t>Net Kar</t>
  </si>
  <si>
    <t>Yatırımlara Nakit Akımı</t>
  </si>
  <si>
    <t>Kısa Vadeli Borçlanma</t>
  </si>
  <si>
    <t>Uzun Vadeli Borçlanma</t>
  </si>
  <si>
    <t>Faiz Gideri</t>
  </si>
  <si>
    <t>Temettü</t>
  </si>
  <si>
    <t>Sermaye Artırımı</t>
  </si>
  <si>
    <t>Net Nakit Akımı</t>
  </si>
  <si>
    <t>Nakit Değişimi</t>
  </si>
  <si>
    <t>Vaka IX</t>
  </si>
  <si>
    <t>Vaka X</t>
  </si>
  <si>
    <t>Sektör</t>
  </si>
  <si>
    <t>Halihazır</t>
  </si>
  <si>
    <t xml:space="preserve">             -   </t>
  </si>
  <si>
    <t>Proforma</t>
  </si>
  <si>
    <t>Yönetici Bilançosu</t>
  </si>
  <si>
    <t>Nakit Akım Tablosu</t>
  </si>
  <si>
    <t>Finansman F. Nakit Akımı</t>
  </si>
  <si>
    <t>Karlılık</t>
  </si>
  <si>
    <t>P.Ödenen G.</t>
  </si>
  <si>
    <t>Ödenecek G.</t>
  </si>
  <si>
    <t>İşletme Sermayesi İhtiyacı</t>
  </si>
  <si>
    <t>Net Uzun Vadeli Finansman</t>
  </si>
  <si>
    <t>WCR</t>
  </si>
  <si>
    <t>Likidite Rasyosu</t>
  </si>
  <si>
    <t>+ Amortisman Gideri</t>
  </si>
  <si>
    <t>Cari Oran</t>
  </si>
  <si>
    <t>Asit-test Rasyosu</t>
  </si>
  <si>
    <t xml:space="preserve">Now </t>
  </si>
  <si>
    <t xml:space="preserve">Year 1 </t>
  </si>
  <si>
    <t xml:space="preserve">Year 2 </t>
  </si>
  <si>
    <t xml:space="preserve">Year 3 </t>
  </si>
  <si>
    <t xml:space="preserve">Year 4 </t>
  </si>
  <si>
    <t xml:space="preserve">Year 5 </t>
  </si>
  <si>
    <t>EBIT margin</t>
  </si>
  <si>
    <t>EBITDA margin</t>
  </si>
  <si>
    <t>New EBITDA margin</t>
  </si>
  <si>
    <t>New EBITDA</t>
  </si>
  <si>
    <t>New EBIT</t>
  </si>
  <si>
    <t>New EBIT - Tax</t>
  </si>
  <si>
    <t>New FCF</t>
  </si>
  <si>
    <t>Tahmini satış adedi</t>
  </si>
  <si>
    <t>Adet başına fiyat</t>
  </si>
  <si>
    <t>Ciro</t>
  </si>
  <si>
    <t>Genel giderler</t>
  </si>
  <si>
    <t>Faaliyet giderleri</t>
  </si>
  <si>
    <t>Amortisman</t>
  </si>
  <si>
    <t>FVÖK*(1-vergi oranı)</t>
  </si>
  <si>
    <t>Sabit kıymet yatırımı</t>
  </si>
  <si>
    <t>Arge giderleri</t>
  </si>
  <si>
    <t>Net nakit akımı</t>
  </si>
  <si>
    <t>İskonto oranı</t>
  </si>
  <si>
    <t>Net bugünkü değer</t>
  </si>
  <si>
    <t>Operasyonel Verimlilik</t>
  </si>
  <si>
    <t>WCR/Ciro</t>
  </si>
  <si>
    <t>Likidite Analizi</t>
  </si>
  <si>
    <t>Aktifler</t>
  </si>
  <si>
    <t>Pasifler</t>
  </si>
  <si>
    <t>Kasa</t>
  </si>
  <si>
    <t>Kısa Vadeli Borçlar</t>
  </si>
  <si>
    <t>Ticari alacaklar</t>
  </si>
  <si>
    <t xml:space="preserve">    Banka kredileri</t>
  </si>
  <si>
    <t xml:space="preserve">    U.V. kredi taksitleri</t>
  </si>
  <si>
    <t>Peşin ödenen giderler</t>
  </si>
  <si>
    <t>Dönen varlıklar</t>
  </si>
  <si>
    <t>Maaş ve vergi borçları</t>
  </si>
  <si>
    <t>Finansal varlıklar</t>
  </si>
  <si>
    <t>Toplam K.V. Borçlar</t>
  </si>
  <si>
    <t>Net maddi duran varlıklar</t>
  </si>
  <si>
    <t>Uzun vadeli banka kredileri</t>
  </si>
  <si>
    <t xml:space="preserve">      Brüt maddi duran v.</t>
  </si>
  <si>
    <t>Toplam U.V. Borçlar</t>
  </si>
  <si>
    <t xml:space="preserve">      Birikmiş amortisman</t>
  </si>
  <si>
    <t>Duran varlıklar</t>
  </si>
  <si>
    <t>Toplam aktifler</t>
  </si>
  <si>
    <t>Toplam pasifler</t>
  </si>
  <si>
    <t>Yatırılan Sermaye</t>
  </si>
  <si>
    <t>Kullanılan Sermaye</t>
  </si>
  <si>
    <t>Kısa vadeli borçlar</t>
  </si>
  <si>
    <t>Uzun vadeli kaynaklar</t>
  </si>
  <si>
    <t xml:space="preserve">   Uzun vadeli borçlar</t>
  </si>
  <si>
    <t>WCR (II)</t>
  </si>
  <si>
    <t>Likidite Rasyosu (I/II)</t>
  </si>
  <si>
    <t>Net Uzun V. Finansman (I)</t>
  </si>
  <si>
    <t>İşletme sermayesi (WCR)</t>
  </si>
  <si>
    <t>FAVÖK</t>
  </si>
  <si>
    <t>Borçluluk</t>
  </si>
  <si>
    <t xml:space="preserve">Net Borç / Özsermaye </t>
  </si>
  <si>
    <t>Ödeme Gücü</t>
  </si>
  <si>
    <t>Net Borç / FAVÖK</t>
  </si>
  <si>
    <t>Yükümlülükler/Özsermaye</t>
  </si>
  <si>
    <t>Net Borç</t>
  </si>
  <si>
    <t xml:space="preserve">topline </t>
  </si>
  <si>
    <t>opex</t>
  </si>
  <si>
    <t>bottomline</t>
  </si>
  <si>
    <t>ü,ğ</t>
  </si>
  <si>
    <t>&gt;0</t>
  </si>
  <si>
    <t>muhafazakar</t>
  </si>
  <si>
    <t>dengeli</t>
  </si>
  <si>
    <t>agresif</t>
  </si>
  <si>
    <t>bu iş yapılır</t>
  </si>
  <si>
    <t>iç verim oranı</t>
  </si>
  <si>
    <t>&gt; sermaye maliyeti</t>
  </si>
  <si>
    <t>&lt; geri ödeme süre limiti</t>
  </si>
  <si>
    <t>Favök</t>
  </si>
  <si>
    <t>kendi başına şirketse 0 al ama hali hazırda şirketse kar kalkanı olacaktır.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</si>
</sst>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\$#,##0;[Red]\-\$#,##0"/>
    <numFmt numFmtId="165" formatCode="\$###0;[Red]\-\$###0"/>
    <numFmt numFmtId="166" formatCode="#,##0_ ;\-#,##0\ "/>
    <numFmt numFmtId="167" formatCode="0.000%"/>
    <numFmt numFmtId="168" formatCode="0.0000"/>
    <numFmt numFmtId="169" formatCode="0.0%"/>
    <numFmt numFmtId="170" formatCode="_-* #,##0_-;\-* #,##0_-;_-* &quot;-&quot;??_-;_-@_-"/>
    <numFmt numFmtId="171" formatCode="#,##0_ ;[Red]\-#,##0\ 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color rgb="FF000000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sz val="12"/>
      <color rgb="FF000000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rgb="FFFFFFFF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color rgb="FF000000"/>
      <name val="Calibri"/>
      <family val="2"/>
      <charset val="162"/>
    </font>
    <font>
      <sz val="14"/>
      <color rgb="FF000000"/>
      <name val="Calibri"/>
      <family val="2"/>
      <charset val="162"/>
    </font>
    <font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sz val="18"/>
      <name val="Arial"/>
      <family val="2"/>
    </font>
    <font>
      <b/>
      <sz val="12"/>
      <color rgb="FF000000"/>
      <name val="Verdana"/>
      <family val="2"/>
    </font>
    <font>
      <sz val="12"/>
      <color rgb="FF000000"/>
      <name val="Verdana"/>
      <family val="2"/>
    </font>
    <font>
      <b/>
      <sz val="12"/>
      <color rgb="FF0000FF"/>
      <name val="Verdana"/>
      <family val="2"/>
    </font>
    <font>
      <sz val="12"/>
      <color rgb="FF000000"/>
      <name val="Verdana"/>
      <family val="2"/>
    </font>
    <font>
      <b/>
      <sz val="12"/>
      <color rgb="FF000000"/>
      <name val="Verdana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FF6E7"/>
        <bgColor indexed="64"/>
      </patternFill>
    </fill>
    <fill>
      <patternFill patternType="solid">
        <fgColor rgb="FFDEECCB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5" borderId="0" applyNumberFormat="0" applyBorder="0" applyAlignment="0" applyProtection="0"/>
    <xf numFmtId="0" fontId="10" fillId="6" borderId="0" applyNumberFormat="0" applyBorder="0" applyAlignment="0" applyProtection="0"/>
  </cellStyleXfs>
  <cellXfs count="196">
    <xf numFmtId="0" fontId="0" fillId="0" borderId="0" xfId="0"/>
    <xf numFmtId="0" fontId="11" fillId="0" borderId="0" xfId="0" applyFont="1"/>
    <xf numFmtId="0" fontId="12" fillId="2" borderId="1" xfId="0" applyFont="1" applyFill="1" applyBorder="1" applyAlignment="1">
      <alignment horizontal="center" vertical="top" wrapText="1" readingOrder="1"/>
    </xf>
    <xf numFmtId="0" fontId="12" fillId="2" borderId="1" xfId="0" applyFont="1" applyFill="1" applyBorder="1" applyAlignment="1">
      <alignment horizontal="right" vertical="top" wrapText="1" indent="1" readingOrder="1"/>
    </xf>
    <xf numFmtId="0" fontId="13" fillId="4" borderId="3" xfId="0" applyFont="1" applyFill="1" applyBorder="1" applyAlignment="1">
      <alignment horizontal="center" vertical="top" wrapText="1" readingOrder="1"/>
    </xf>
    <xf numFmtId="0" fontId="13" fillId="4" borderId="3" xfId="0" applyFont="1" applyFill="1" applyBorder="1" applyAlignment="1">
      <alignment horizontal="right" vertical="top" wrapText="1" indent="1" readingOrder="1"/>
    </xf>
    <xf numFmtId="0" fontId="13" fillId="3" borderId="3" xfId="0" applyFont="1" applyFill="1" applyBorder="1" applyAlignment="1">
      <alignment horizontal="center" vertical="top" wrapText="1" readingOrder="1"/>
    </xf>
    <xf numFmtId="0" fontId="13" fillId="3" borderId="3" xfId="0" applyFont="1" applyFill="1" applyBorder="1" applyAlignment="1">
      <alignment horizontal="right" vertical="top" wrapText="1" indent="1" readingOrder="1"/>
    </xf>
    <xf numFmtId="0" fontId="13" fillId="3" borderId="3" xfId="0" applyFont="1" applyFill="1" applyBorder="1" applyAlignment="1">
      <alignment horizontal="left" vertical="top" wrapText="1" readingOrder="1"/>
    </xf>
    <xf numFmtId="0" fontId="13" fillId="4" borderId="3" xfId="0" applyFont="1" applyFill="1" applyBorder="1" applyAlignment="1">
      <alignment horizontal="left" vertical="top" wrapText="1" readingOrder="1"/>
    </xf>
    <xf numFmtId="9" fontId="13" fillId="4" borderId="3" xfId="0" applyNumberFormat="1" applyFont="1" applyFill="1" applyBorder="1" applyAlignment="1">
      <alignment horizontal="center" vertical="top" wrapText="1" readingOrder="1"/>
    </xf>
    <xf numFmtId="164" fontId="13" fillId="3" borderId="2" xfId="0" applyNumberFormat="1" applyFont="1" applyFill="1" applyBorder="1" applyAlignment="1">
      <alignment horizontal="right" vertical="top" wrapText="1" indent="1" readingOrder="1"/>
    </xf>
    <xf numFmtId="0" fontId="14" fillId="3" borderId="2" xfId="0" applyFont="1" applyFill="1" applyBorder="1" applyAlignment="1">
      <alignment horizontal="center" vertical="top" wrapText="1" readingOrder="1"/>
    </xf>
    <xf numFmtId="164" fontId="13" fillId="3" borderId="3" xfId="0" applyNumberFormat="1" applyFont="1" applyFill="1" applyBorder="1" applyAlignment="1">
      <alignment horizontal="right" vertical="top" wrapText="1" indent="1" readingOrder="1"/>
    </xf>
    <xf numFmtId="10" fontId="13" fillId="3" borderId="3" xfId="2" applyNumberFormat="1" applyFont="1" applyFill="1" applyBorder="1" applyAlignment="1">
      <alignment horizontal="right" vertical="top" wrapText="1" indent="1" readingOrder="1"/>
    </xf>
    <xf numFmtId="43" fontId="13" fillId="3" borderId="3" xfId="1" applyFont="1" applyFill="1" applyBorder="1" applyAlignment="1">
      <alignment horizontal="right" vertical="top" wrapText="1" indent="1" readingOrder="1"/>
    </xf>
    <xf numFmtId="165" fontId="13" fillId="3" borderId="2" xfId="0" applyNumberFormat="1" applyFont="1" applyFill="1" applyBorder="1" applyAlignment="1">
      <alignment horizontal="right" vertical="top" wrapText="1" indent="1" readingOrder="1"/>
    </xf>
    <xf numFmtId="165" fontId="13" fillId="3" borderId="3" xfId="0" applyNumberFormat="1" applyFont="1" applyFill="1" applyBorder="1" applyAlignment="1">
      <alignment horizontal="right" vertical="top" wrapText="1" indent="1" readingOrder="1"/>
    </xf>
    <xf numFmtId="0" fontId="15" fillId="0" borderId="0" xfId="0" applyFont="1"/>
    <xf numFmtId="0" fontId="17" fillId="0" borderId="0" xfId="0" applyFont="1"/>
    <xf numFmtId="0" fontId="19" fillId="0" borderId="0" xfId="0" applyFont="1" applyAlignment="1">
      <alignment horizontal="left" vertical="top" wrapText="1" readingOrder="1"/>
    </xf>
    <xf numFmtId="0" fontId="21" fillId="0" borderId="0" xfId="0" applyFont="1" applyAlignment="1">
      <alignment horizontal="left" vertical="top" wrapText="1" readingOrder="1"/>
    </xf>
    <xf numFmtId="0" fontId="21" fillId="0" borderId="0" xfId="0" applyFont="1" applyAlignment="1">
      <alignment horizontal="right" vertical="top" wrapText="1" indent="1"/>
    </xf>
    <xf numFmtId="0" fontId="9" fillId="0" borderId="0" xfId="0" applyFont="1"/>
    <xf numFmtId="0" fontId="9" fillId="0" borderId="0" xfId="0" applyFont="1" applyAlignment="1">
      <alignment horizontal="left"/>
    </xf>
    <xf numFmtId="9" fontId="9" fillId="0" borderId="0" xfId="0" applyNumberFormat="1" applyFont="1"/>
    <xf numFmtId="3" fontId="9" fillId="0" borderId="0" xfId="0" applyNumberFormat="1" applyFont="1"/>
    <xf numFmtId="3" fontId="9" fillId="0" borderId="0" xfId="1" applyNumberFormat="1" applyFont="1"/>
    <xf numFmtId="169" fontId="9" fillId="0" borderId="0" xfId="0" applyNumberFormat="1" applyFont="1"/>
    <xf numFmtId="169" fontId="9" fillId="0" borderId="0" xfId="2" applyNumberFormat="1" applyFont="1"/>
    <xf numFmtId="0" fontId="18" fillId="7" borderId="3" xfId="0" applyFont="1" applyFill="1" applyBorder="1" applyAlignment="1">
      <alignment horizontal="right" vertical="top" wrapText="1"/>
    </xf>
    <xf numFmtId="169" fontId="18" fillId="7" borderId="3" xfId="0" applyNumberFormat="1" applyFont="1" applyFill="1" applyBorder="1" applyAlignment="1">
      <alignment horizontal="right" vertical="top" wrapText="1"/>
    </xf>
    <xf numFmtId="0" fontId="23" fillId="7" borderId="3" xfId="0" applyFont="1" applyFill="1" applyBorder="1" applyAlignment="1">
      <alignment horizontal="right" vertical="top" wrapText="1" readingOrder="1"/>
    </xf>
    <xf numFmtId="166" fontId="18" fillId="8" borderId="3" xfId="0" applyNumberFormat="1" applyFont="1" applyFill="1" applyBorder="1" applyAlignment="1">
      <alignment horizontal="right" vertical="top" wrapText="1" indent="1" readingOrder="1"/>
    </xf>
    <xf numFmtId="0" fontId="23" fillId="8" borderId="3" xfId="0" applyFont="1" applyFill="1" applyBorder="1" applyAlignment="1">
      <alignment horizontal="right" vertical="top" wrapText="1" readingOrder="1"/>
    </xf>
    <xf numFmtId="0" fontId="24" fillId="7" borderId="3" xfId="0" applyFont="1" applyFill="1" applyBorder="1" applyAlignment="1">
      <alignment horizontal="right" vertical="top" wrapText="1" readingOrder="1"/>
    </xf>
    <xf numFmtId="3" fontId="18" fillId="8" borderId="3" xfId="0" applyNumberFormat="1" applyFont="1" applyFill="1" applyBorder="1" applyAlignment="1">
      <alignment horizontal="right" vertical="top" wrapText="1" indent="1" readingOrder="1"/>
    </xf>
    <xf numFmtId="0" fontId="18" fillId="8" borderId="3" xfId="0" applyFont="1" applyFill="1" applyBorder="1" applyAlignment="1">
      <alignment horizontal="right" vertical="top" wrapText="1" readingOrder="1"/>
    </xf>
    <xf numFmtId="170" fontId="25" fillId="7" borderId="3" xfId="1" applyNumberFormat="1" applyFont="1" applyFill="1" applyBorder="1" applyAlignment="1">
      <alignment horizontal="right" vertical="top" wrapText="1" indent="1" readingOrder="1"/>
    </xf>
    <xf numFmtId="0" fontId="25" fillId="7" borderId="3" xfId="0" applyFont="1" applyFill="1" applyBorder="1" applyAlignment="1">
      <alignment horizontal="right" vertical="top" wrapText="1" indent="1"/>
    </xf>
    <xf numFmtId="0" fontId="25" fillId="7" borderId="3" xfId="0" applyFont="1" applyFill="1" applyBorder="1" applyAlignment="1">
      <alignment horizontal="left" vertical="top" wrapText="1" readingOrder="1"/>
    </xf>
    <xf numFmtId="170" fontId="25" fillId="8" borderId="3" xfId="1" applyNumberFormat="1" applyFont="1" applyFill="1" applyBorder="1" applyAlignment="1">
      <alignment horizontal="right" vertical="top" wrapText="1" indent="1" readingOrder="1"/>
    </xf>
    <xf numFmtId="0" fontId="25" fillId="8" borderId="3" xfId="0" applyFont="1" applyFill="1" applyBorder="1" applyAlignment="1">
      <alignment horizontal="left" vertical="top" wrapText="1" readingOrder="1"/>
    </xf>
    <xf numFmtId="3" fontId="25" fillId="7" borderId="3" xfId="0" applyNumberFormat="1" applyFont="1" applyFill="1" applyBorder="1" applyAlignment="1">
      <alignment horizontal="right" vertical="top" wrapText="1" indent="1" readingOrder="1"/>
    </xf>
    <xf numFmtId="166" fontId="25" fillId="8" borderId="3" xfId="1" applyNumberFormat="1" applyFont="1" applyFill="1" applyBorder="1" applyAlignment="1">
      <alignment horizontal="right" vertical="top" wrapText="1" indent="1"/>
    </xf>
    <xf numFmtId="0" fontId="25" fillId="7" borderId="3" xfId="0" applyFont="1" applyFill="1" applyBorder="1" applyAlignment="1">
      <alignment vertical="top" wrapText="1"/>
    </xf>
    <xf numFmtId="0" fontId="18" fillId="8" borderId="3" xfId="0" applyFont="1" applyFill="1" applyBorder="1" applyAlignment="1">
      <alignment vertical="top" wrapText="1"/>
    </xf>
    <xf numFmtId="0" fontId="18" fillId="8" borderId="3" xfId="0" applyFont="1" applyFill="1" applyBorder="1" applyAlignment="1">
      <alignment horizontal="left" vertical="top" wrapText="1" readingOrder="1"/>
    </xf>
    <xf numFmtId="166" fontId="25" fillId="7" borderId="3" xfId="1" applyNumberFormat="1" applyFont="1" applyFill="1" applyBorder="1" applyAlignment="1">
      <alignment horizontal="right" vertical="top" wrapText="1" indent="1" readingOrder="1"/>
    </xf>
    <xf numFmtId="166" fontId="25" fillId="8" borderId="2" xfId="0" applyNumberFormat="1" applyFont="1" applyFill="1" applyBorder="1" applyAlignment="1">
      <alignment horizontal="right" vertical="top" wrapText="1" indent="1" readingOrder="1"/>
    </xf>
    <xf numFmtId="0" fontId="25" fillId="8" borderId="2" xfId="0" applyFont="1" applyFill="1" applyBorder="1" applyAlignment="1">
      <alignment vertical="top" wrapText="1"/>
    </xf>
    <xf numFmtId="0" fontId="25" fillId="8" borderId="2" xfId="0" applyFont="1" applyFill="1" applyBorder="1" applyAlignment="1">
      <alignment horizontal="left" vertical="top" wrapText="1" readingOrder="1"/>
    </xf>
    <xf numFmtId="0" fontId="26" fillId="0" borderId="0" xfId="0" applyFont="1"/>
    <xf numFmtId="166" fontId="25" fillId="7" borderId="3" xfId="1" applyNumberFormat="1" applyFont="1" applyFill="1" applyBorder="1" applyAlignment="1">
      <alignment horizontal="right" vertical="top" wrapText="1" indent="1"/>
    </xf>
    <xf numFmtId="0" fontId="25" fillId="7" borderId="3" xfId="0" applyFont="1" applyFill="1" applyBorder="1" applyAlignment="1">
      <alignment horizontal="right" vertical="top" wrapText="1"/>
    </xf>
    <xf numFmtId="0" fontId="25" fillId="7" borderId="1" xfId="0" applyFont="1" applyFill="1" applyBorder="1" applyAlignment="1">
      <alignment horizontal="left" vertical="top" wrapText="1" readingOrder="1"/>
    </xf>
    <xf numFmtId="0" fontId="25" fillId="8" borderId="3" xfId="0" applyFont="1" applyFill="1" applyBorder="1" applyAlignment="1">
      <alignment horizontal="right" vertical="top" wrapText="1"/>
    </xf>
    <xf numFmtId="2" fontId="25" fillId="7" borderId="3" xfId="0" applyNumberFormat="1" applyFont="1" applyFill="1" applyBorder="1" applyAlignment="1">
      <alignment horizontal="right" vertical="top" wrapText="1" indent="1"/>
    </xf>
    <xf numFmtId="3" fontId="25" fillId="8" borderId="3" xfId="0" applyNumberFormat="1" applyFont="1" applyFill="1" applyBorder="1" applyAlignment="1">
      <alignment horizontal="right" vertical="top" wrapText="1" indent="1"/>
    </xf>
    <xf numFmtId="3" fontId="25" fillId="8" borderId="2" xfId="0" applyNumberFormat="1" applyFont="1" applyFill="1" applyBorder="1" applyAlignment="1">
      <alignment horizontal="right" vertical="top" wrapText="1" indent="1"/>
    </xf>
    <xf numFmtId="0" fontId="25" fillId="8" borderId="2" xfId="0" applyFont="1" applyFill="1" applyBorder="1" applyAlignment="1">
      <alignment horizontal="right" vertical="top" wrapText="1"/>
    </xf>
    <xf numFmtId="0" fontId="27" fillId="2" borderId="1" xfId="0" applyFont="1" applyFill="1" applyBorder="1" applyAlignment="1">
      <alignment horizontal="right" vertical="top" wrapText="1" readingOrder="1"/>
    </xf>
    <xf numFmtId="0" fontId="18" fillId="2" borderId="1" xfId="0" applyFont="1" applyFill="1" applyBorder="1" applyAlignment="1">
      <alignment horizontal="left" vertical="top" wrapText="1"/>
    </xf>
    <xf numFmtId="170" fontId="15" fillId="0" borderId="0" xfId="1" applyNumberFormat="1" applyFont="1"/>
    <xf numFmtId="0" fontId="8" fillId="0" borderId="0" xfId="0" applyFont="1"/>
    <xf numFmtId="0" fontId="28" fillId="9" borderId="0" xfId="0" applyFont="1" applyFill="1" applyAlignment="1">
      <alignment horizontal="left" wrapText="1" readingOrder="1"/>
    </xf>
    <xf numFmtId="0" fontId="7" fillId="0" borderId="0" xfId="0" applyFont="1"/>
    <xf numFmtId="0" fontId="18" fillId="0" borderId="4" xfId="0" applyFont="1" applyBorder="1" applyAlignment="1" applyProtection="1">
      <alignment horizontal="left" readingOrder="1"/>
      <protection locked="0"/>
    </xf>
    <xf numFmtId="0" fontId="19" fillId="0" borderId="4" xfId="0" applyFont="1" applyBorder="1" applyAlignment="1" applyProtection="1">
      <alignment horizontal="left" readingOrder="1"/>
      <protection locked="0"/>
    </xf>
    <xf numFmtId="0" fontId="20" fillId="0" borderId="4" xfId="0" applyFont="1" applyBorder="1" applyAlignment="1" applyProtection="1">
      <alignment horizontal="left" readingOrder="1"/>
      <protection locked="0"/>
    </xf>
    <xf numFmtId="0" fontId="22" fillId="0" borderId="4" xfId="0" applyFont="1" applyBorder="1" applyAlignment="1" applyProtection="1">
      <alignment horizontal="left"/>
      <protection locked="0"/>
    </xf>
    <xf numFmtId="0" fontId="15" fillId="0" borderId="4" xfId="0" applyFont="1" applyBorder="1" applyAlignment="1" applyProtection="1">
      <alignment horizontal="center"/>
      <protection locked="0"/>
    </xf>
    <xf numFmtId="0" fontId="17" fillId="0" borderId="0" xfId="0" applyFont="1" applyProtection="1">
      <protection locked="0"/>
    </xf>
    <xf numFmtId="0" fontId="17" fillId="0" borderId="4" xfId="0" applyFont="1" applyBorder="1" applyAlignment="1" applyProtection="1">
      <alignment horizontal="left"/>
      <protection locked="0"/>
    </xf>
    <xf numFmtId="166" fontId="17" fillId="0" borderId="4" xfId="1" applyNumberFormat="1" applyFont="1" applyBorder="1" applyProtection="1">
      <protection locked="0"/>
    </xf>
    <xf numFmtId="0" fontId="21" fillId="0" borderId="4" xfId="0" applyFont="1" applyBorder="1" applyAlignment="1" applyProtection="1">
      <alignment horizontal="left" readingOrder="1"/>
      <protection locked="0"/>
    </xf>
    <xf numFmtId="3" fontId="17" fillId="0" borderId="4" xfId="0" applyNumberFormat="1" applyFont="1" applyBorder="1" applyProtection="1">
      <protection locked="0"/>
    </xf>
    <xf numFmtId="0" fontId="17" fillId="0" borderId="4" xfId="0" applyFont="1" applyBorder="1" applyProtection="1">
      <protection locked="0"/>
    </xf>
    <xf numFmtId="0" fontId="17" fillId="0" borderId="0" xfId="0" applyFont="1" applyAlignment="1" applyProtection="1">
      <alignment horizontal="left"/>
      <protection locked="0"/>
    </xf>
    <xf numFmtId="166" fontId="16" fillId="5" borderId="4" xfId="3" applyNumberFormat="1" applyBorder="1"/>
    <xf numFmtId="166" fontId="10" fillId="6" borderId="4" xfId="4" applyNumberFormat="1" applyBorder="1"/>
    <xf numFmtId="166" fontId="17" fillId="0" borderId="4" xfId="1" applyNumberFormat="1" applyFont="1" applyBorder="1"/>
    <xf numFmtId="3" fontId="16" fillId="5" borderId="4" xfId="3" applyNumberFormat="1" applyBorder="1"/>
    <xf numFmtId="3" fontId="10" fillId="6" borderId="4" xfId="4" applyNumberFormat="1" applyBorder="1"/>
    <xf numFmtId="0" fontId="15" fillId="0" borderId="0" xfId="0" applyFont="1" applyAlignment="1">
      <alignment horizontal="center"/>
    </xf>
    <xf numFmtId="170" fontId="7" fillId="0" borderId="0" xfId="1" applyNumberFormat="1" applyFont="1"/>
    <xf numFmtId="0" fontId="19" fillId="4" borderId="3" xfId="0" applyFont="1" applyFill="1" applyBorder="1" applyAlignment="1">
      <alignment horizontal="right" wrapText="1" readingOrder="1"/>
    </xf>
    <xf numFmtId="0" fontId="29" fillId="4" borderId="3" xfId="0" applyFont="1" applyFill="1" applyBorder="1" applyAlignment="1">
      <alignment wrapText="1"/>
    </xf>
    <xf numFmtId="0" fontId="30" fillId="4" borderId="3" xfId="0" applyFont="1" applyFill="1" applyBorder="1" applyAlignment="1">
      <alignment wrapText="1"/>
    </xf>
    <xf numFmtId="0" fontId="30" fillId="4" borderId="3" xfId="0" applyFont="1" applyFill="1" applyBorder="1" applyAlignment="1">
      <alignment horizontal="right" wrapText="1"/>
    </xf>
    <xf numFmtId="0" fontId="21" fillId="4" borderId="3" xfId="0" applyFont="1" applyFill="1" applyBorder="1" applyAlignment="1">
      <alignment horizontal="right" wrapText="1" readingOrder="1"/>
    </xf>
    <xf numFmtId="0" fontId="19" fillId="4" borderId="3" xfId="0" applyFont="1" applyFill="1" applyBorder="1" applyAlignment="1">
      <alignment horizontal="left" wrapText="1" readingOrder="1"/>
    </xf>
    <xf numFmtId="9" fontId="19" fillId="4" borderId="3" xfId="0" applyNumberFormat="1" applyFont="1" applyFill="1" applyBorder="1" applyAlignment="1">
      <alignment horizontal="right" wrapText="1" readingOrder="1"/>
    </xf>
    <xf numFmtId="10" fontId="21" fillId="4" borderId="3" xfId="0" applyNumberFormat="1" applyFont="1" applyFill="1" applyBorder="1" applyAlignment="1">
      <alignment horizontal="right" wrapText="1" readingOrder="1"/>
    </xf>
    <xf numFmtId="3" fontId="21" fillId="4" borderId="3" xfId="0" applyNumberFormat="1" applyFont="1" applyFill="1" applyBorder="1" applyAlignment="1">
      <alignment horizontal="right" wrapText="1" readingOrder="1"/>
    </xf>
    <xf numFmtId="10" fontId="19" fillId="4" borderId="3" xfId="0" applyNumberFormat="1" applyFont="1" applyFill="1" applyBorder="1" applyAlignment="1">
      <alignment horizontal="right" wrapText="1" readingOrder="1"/>
    </xf>
    <xf numFmtId="3" fontId="19" fillId="4" borderId="3" xfId="0" applyNumberFormat="1" applyFont="1" applyFill="1" applyBorder="1" applyAlignment="1">
      <alignment horizontal="right" wrapText="1" readingOrder="1"/>
    </xf>
    <xf numFmtId="0" fontId="29" fillId="9" borderId="3" xfId="0" applyFont="1" applyFill="1" applyBorder="1" applyAlignment="1">
      <alignment wrapText="1"/>
    </xf>
    <xf numFmtId="0" fontId="8" fillId="9" borderId="0" xfId="0" applyFont="1" applyFill="1"/>
    <xf numFmtId="0" fontId="0" fillId="9" borderId="0" xfId="0" quotePrefix="1" applyFill="1"/>
    <xf numFmtId="0" fontId="8" fillId="9" borderId="0" xfId="0" quotePrefix="1" applyFont="1" applyFill="1"/>
    <xf numFmtId="0" fontId="15" fillId="9" borderId="0" xfId="0" applyFont="1" applyFill="1"/>
    <xf numFmtId="0" fontId="30" fillId="9" borderId="3" xfId="0" applyFont="1" applyFill="1" applyBorder="1" applyAlignment="1">
      <alignment wrapText="1"/>
    </xf>
    <xf numFmtId="0" fontId="19" fillId="9" borderId="3" xfId="0" applyFont="1" applyFill="1" applyBorder="1" applyAlignment="1">
      <alignment horizontal="left" wrapText="1" readingOrder="1"/>
    </xf>
    <xf numFmtId="0" fontId="21" fillId="9" borderId="3" xfId="0" applyFont="1" applyFill="1" applyBorder="1" applyAlignment="1">
      <alignment horizontal="left" wrapText="1" readingOrder="1"/>
    </xf>
    <xf numFmtId="0" fontId="19" fillId="9" borderId="5" xfId="0" applyFont="1" applyFill="1" applyBorder="1" applyAlignment="1">
      <alignment horizontal="left" wrapText="1" readingOrder="1"/>
    </xf>
    <xf numFmtId="0" fontId="6" fillId="0" borderId="0" xfId="0" applyFont="1"/>
    <xf numFmtId="0" fontId="5" fillId="9" borderId="0" xfId="0" quotePrefix="1" applyFont="1" applyFill="1"/>
    <xf numFmtId="0" fontId="4" fillId="0" borderId="0" xfId="0" applyFont="1"/>
    <xf numFmtId="170" fontId="21" fillId="4" borderId="3" xfId="0" applyNumberFormat="1" applyFont="1" applyFill="1" applyBorder="1" applyAlignment="1">
      <alignment horizontal="right" wrapText="1" readingOrder="1"/>
    </xf>
    <xf numFmtId="3" fontId="7" fillId="0" borderId="0" xfId="0" applyNumberFormat="1" applyFont="1"/>
    <xf numFmtId="9" fontId="7" fillId="0" borderId="0" xfId="2" applyFont="1"/>
    <xf numFmtId="0" fontId="31" fillId="2" borderId="1" xfId="0" applyFont="1" applyFill="1" applyBorder="1" applyAlignment="1">
      <alignment horizontal="left" vertical="top" wrapText="1" readingOrder="1"/>
    </xf>
    <xf numFmtId="0" fontId="31" fillId="2" borderId="1" xfId="0" applyFont="1" applyFill="1" applyBorder="1" applyAlignment="1">
      <alignment horizontal="right" vertical="top" wrapText="1" readingOrder="1"/>
    </xf>
    <xf numFmtId="0" fontId="32" fillId="8" borderId="2" xfId="0" applyFont="1" applyFill="1" applyBorder="1" applyAlignment="1">
      <alignment horizontal="left" vertical="top" wrapText="1" readingOrder="1"/>
    </xf>
    <xf numFmtId="3" fontId="32" fillId="8" borderId="2" xfId="0" applyNumberFormat="1" applyFont="1" applyFill="1" applyBorder="1" applyAlignment="1">
      <alignment vertical="top" wrapText="1" readingOrder="1"/>
    </xf>
    <xf numFmtId="3" fontId="32" fillId="8" borderId="2" xfId="0" applyNumberFormat="1" applyFont="1" applyFill="1" applyBorder="1" applyAlignment="1">
      <alignment horizontal="right" vertical="top" wrapText="1" readingOrder="1"/>
    </xf>
    <xf numFmtId="0" fontId="32" fillId="7" borderId="3" xfId="0" applyFont="1" applyFill="1" applyBorder="1" applyAlignment="1">
      <alignment horizontal="left" vertical="top" wrapText="1" readingOrder="1"/>
    </xf>
    <xf numFmtId="3" fontId="32" fillId="7" borderId="3" xfId="0" applyNumberFormat="1" applyFont="1" applyFill="1" applyBorder="1" applyAlignment="1">
      <alignment vertical="top" wrapText="1" readingOrder="1"/>
    </xf>
    <xf numFmtId="3" fontId="32" fillId="7" borderId="3" xfId="0" applyNumberFormat="1" applyFont="1" applyFill="1" applyBorder="1" applyAlignment="1">
      <alignment horizontal="right" vertical="top" wrapText="1" readingOrder="1"/>
    </xf>
    <xf numFmtId="0" fontId="32" fillId="8" borderId="3" xfId="0" applyFont="1" applyFill="1" applyBorder="1" applyAlignment="1">
      <alignment horizontal="left" vertical="top" wrapText="1" readingOrder="1"/>
    </xf>
    <xf numFmtId="3" fontId="32" fillId="8" borderId="3" xfId="0" applyNumberFormat="1" applyFont="1" applyFill="1" applyBorder="1" applyAlignment="1">
      <alignment vertical="top" wrapText="1" readingOrder="1"/>
    </xf>
    <xf numFmtId="3" fontId="32" fillId="8" borderId="3" xfId="1" applyNumberFormat="1" applyFont="1" applyFill="1" applyBorder="1" applyAlignment="1">
      <alignment horizontal="right" vertical="top" wrapText="1" readingOrder="1"/>
    </xf>
    <xf numFmtId="3" fontId="32" fillId="7" borderId="3" xfId="1" applyNumberFormat="1" applyFont="1" applyFill="1" applyBorder="1" applyAlignment="1">
      <alignment horizontal="right" vertical="top" wrapText="1" readingOrder="1"/>
    </xf>
    <xf numFmtId="0" fontId="32" fillId="7" borderId="1" xfId="0" applyFont="1" applyFill="1" applyBorder="1" applyAlignment="1">
      <alignment horizontal="left" vertical="top" wrapText="1" readingOrder="1"/>
    </xf>
    <xf numFmtId="3" fontId="32" fillId="7" borderId="1" xfId="0" applyNumberFormat="1" applyFont="1" applyFill="1" applyBorder="1" applyAlignment="1">
      <alignment vertical="top" wrapText="1" readingOrder="1"/>
    </xf>
    <xf numFmtId="3" fontId="32" fillId="7" borderId="1" xfId="0" applyNumberFormat="1" applyFont="1" applyFill="1" applyBorder="1" applyAlignment="1">
      <alignment horizontal="right" vertical="top" wrapText="1" readingOrder="1"/>
    </xf>
    <xf numFmtId="3" fontId="31" fillId="8" borderId="3" xfId="0" applyNumberFormat="1" applyFont="1" applyFill="1" applyBorder="1" applyAlignment="1">
      <alignment horizontal="right" vertical="top" wrapText="1" readingOrder="1"/>
    </xf>
    <xf numFmtId="0" fontId="31" fillId="8" borderId="3" xfId="0" applyFont="1" applyFill="1" applyBorder="1" applyAlignment="1">
      <alignment horizontal="left" vertical="top" wrapText="1" readingOrder="1"/>
    </xf>
    <xf numFmtId="3" fontId="32" fillId="8" borderId="3" xfId="0" applyNumberFormat="1" applyFont="1" applyFill="1" applyBorder="1" applyAlignment="1">
      <alignment horizontal="right" vertical="top" wrapText="1" readingOrder="1"/>
    </xf>
    <xf numFmtId="9" fontId="32" fillId="7" borderId="3" xfId="2" applyFont="1" applyFill="1" applyBorder="1" applyAlignment="1">
      <alignment vertical="top" wrapText="1" readingOrder="1"/>
    </xf>
    <xf numFmtId="0" fontId="31" fillId="8" borderId="3" xfId="0" applyFont="1" applyFill="1" applyBorder="1" applyAlignment="1">
      <alignment horizontal="right" vertical="top" wrapText="1" readingOrder="1"/>
    </xf>
    <xf numFmtId="0" fontId="32" fillId="7" borderId="3" xfId="0" applyFont="1" applyFill="1" applyBorder="1" applyAlignment="1">
      <alignment horizontal="right" vertical="top" wrapText="1" readingOrder="1"/>
    </xf>
    <xf numFmtId="10" fontId="32" fillId="7" borderId="3" xfId="0" applyNumberFormat="1" applyFont="1" applyFill="1" applyBorder="1" applyAlignment="1">
      <alignment horizontal="right" vertical="top" wrapText="1" readingOrder="1"/>
    </xf>
    <xf numFmtId="0" fontId="33" fillId="0" borderId="0" xfId="0" applyFont="1"/>
    <xf numFmtId="0" fontId="32" fillId="8" borderId="3" xfId="0" applyFont="1" applyFill="1" applyBorder="1" applyAlignment="1">
      <alignment horizontal="right" vertical="top" wrapText="1" readingOrder="1"/>
    </xf>
    <xf numFmtId="171" fontId="32" fillId="8" borderId="3" xfId="0" applyNumberFormat="1" applyFont="1" applyFill="1" applyBorder="1" applyAlignment="1">
      <alignment horizontal="right" vertical="top" wrapText="1" readingOrder="1"/>
    </xf>
    <xf numFmtId="169" fontId="32" fillId="7" borderId="3" xfId="0" applyNumberFormat="1" applyFont="1" applyFill="1" applyBorder="1" applyAlignment="1">
      <alignment horizontal="right" vertical="top" wrapText="1" readingOrder="1"/>
    </xf>
    <xf numFmtId="0" fontId="33" fillId="0" borderId="0" xfId="0" applyFont="1" applyAlignment="1">
      <alignment horizontal="right"/>
    </xf>
    <xf numFmtId="169" fontId="34" fillId="0" borderId="0" xfId="2" applyNumberFormat="1" applyFont="1"/>
    <xf numFmtId="166" fontId="34" fillId="0" borderId="0" xfId="0" applyNumberFormat="1" applyFont="1"/>
    <xf numFmtId="166" fontId="34" fillId="0" borderId="0" xfId="1" applyNumberFormat="1" applyFont="1"/>
    <xf numFmtId="170" fontId="34" fillId="0" borderId="0" xfId="1" applyNumberFormat="1" applyFont="1"/>
    <xf numFmtId="9" fontId="34" fillId="0" borderId="0" xfId="0" applyNumberFormat="1" applyFont="1"/>
    <xf numFmtId="0" fontId="15" fillId="0" borderId="0" xfId="0" applyFont="1" applyAlignment="1" applyProtection="1">
      <alignment horizontal="right"/>
      <protection locked="0"/>
    </xf>
    <xf numFmtId="2" fontId="0" fillId="0" borderId="0" xfId="1" applyNumberFormat="1" applyFont="1" applyProtection="1">
      <protection locked="0"/>
    </xf>
    <xf numFmtId="0" fontId="0" fillId="0" borderId="0" xfId="0" applyProtection="1">
      <protection locked="0"/>
    </xf>
    <xf numFmtId="170" fontId="0" fillId="0" borderId="0" xfId="1" applyNumberFormat="1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0" fillId="0" borderId="0" xfId="0" applyNumberFormat="1" applyProtection="1">
      <protection locked="0"/>
    </xf>
    <xf numFmtId="10" fontId="0" fillId="0" borderId="0" xfId="2" applyNumberFormat="1" applyFont="1" applyProtection="1">
      <protection locked="0"/>
    </xf>
    <xf numFmtId="10" fontId="0" fillId="0" borderId="0" xfId="0" applyNumberFormat="1" applyProtection="1">
      <protection locked="0"/>
    </xf>
    <xf numFmtId="2" fontId="0" fillId="0" borderId="0" xfId="1" applyNumberFormat="1" applyFont="1"/>
    <xf numFmtId="167" fontId="0" fillId="0" borderId="0" xfId="2" applyNumberFormat="1" applyFont="1"/>
    <xf numFmtId="168" fontId="0" fillId="0" borderId="0" xfId="0" applyNumberFormat="1"/>
    <xf numFmtId="170" fontId="13" fillId="4" borderId="3" xfId="1" applyNumberFormat="1" applyFont="1" applyFill="1" applyBorder="1" applyAlignment="1">
      <alignment horizontal="center" vertical="top" wrapText="1" readingOrder="1"/>
    </xf>
    <xf numFmtId="0" fontId="3" fillId="0" borderId="0" xfId="0" applyFont="1"/>
    <xf numFmtId="169" fontId="15" fillId="0" borderId="0" xfId="2" applyNumberFormat="1" applyFont="1"/>
    <xf numFmtId="0" fontId="36" fillId="0" borderId="9" xfId="0" applyFont="1" applyBorder="1" applyAlignment="1">
      <alignment horizontal="left" vertical="center" wrapText="1" readingOrder="1"/>
    </xf>
    <xf numFmtId="0" fontId="36" fillId="0" borderId="9" xfId="0" applyFont="1" applyBorder="1" applyAlignment="1">
      <alignment horizontal="right" vertical="center" wrapText="1" indent="1" readingOrder="1"/>
    </xf>
    <xf numFmtId="0" fontId="37" fillId="0" borderId="9" xfId="0" applyFont="1" applyBorder="1" applyAlignment="1">
      <alignment horizontal="left" vertical="center" wrapText="1" readingOrder="1"/>
    </xf>
    <xf numFmtId="0" fontId="37" fillId="0" borderId="9" xfId="0" applyFont="1" applyBorder="1" applyAlignment="1">
      <alignment horizontal="right" vertical="center" wrapText="1" indent="1" readingOrder="1"/>
    </xf>
    <xf numFmtId="0" fontId="38" fillId="0" borderId="9" xfId="0" applyFont="1" applyBorder="1" applyAlignment="1">
      <alignment horizontal="left" vertical="center" wrapText="1" readingOrder="1"/>
    </xf>
    <xf numFmtId="0" fontId="38" fillId="0" borderId="9" xfId="0" applyFont="1" applyBorder="1" applyAlignment="1">
      <alignment horizontal="right" vertical="center" wrapText="1" indent="1" readingOrder="1"/>
    </xf>
    <xf numFmtId="0" fontId="35" fillId="0" borderId="9" xfId="0" applyFont="1" applyBorder="1" applyAlignment="1">
      <alignment vertical="top" wrapText="1"/>
    </xf>
    <xf numFmtId="0" fontId="39" fillId="0" borderId="13" xfId="0" applyFont="1" applyBorder="1" applyAlignment="1">
      <alignment horizontal="left" wrapText="1" readingOrder="1"/>
    </xf>
    <xf numFmtId="0" fontId="39" fillId="0" borderId="0" xfId="0" applyFont="1" applyAlignment="1">
      <alignment horizontal="right" wrapText="1" indent="1"/>
    </xf>
    <xf numFmtId="0" fontId="39" fillId="0" borderId="14" xfId="0" applyFont="1" applyBorder="1" applyAlignment="1">
      <alignment horizontal="right" wrapText="1" indent="1"/>
    </xf>
    <xf numFmtId="0" fontId="39" fillId="0" borderId="13" xfId="0" applyFont="1" applyBorder="1" applyAlignment="1">
      <alignment wrapText="1"/>
    </xf>
    <xf numFmtId="0" fontId="39" fillId="0" borderId="15" xfId="0" applyFont="1" applyBorder="1" applyAlignment="1">
      <alignment horizontal="left" wrapText="1" readingOrder="1"/>
    </xf>
    <xf numFmtId="0" fontId="39" fillId="0" borderId="16" xfId="0" applyFont="1" applyBorder="1" applyAlignment="1">
      <alignment horizontal="right" wrapText="1" indent="1"/>
    </xf>
    <xf numFmtId="0" fontId="39" fillId="0" borderId="17" xfId="0" applyFont="1" applyBorder="1" applyAlignment="1">
      <alignment horizontal="right" wrapText="1" indent="1"/>
    </xf>
    <xf numFmtId="0" fontId="40" fillId="0" borderId="0" xfId="0" applyFont="1" applyAlignment="1">
      <alignment horizontal="right" wrapText="1" indent="1"/>
    </xf>
    <xf numFmtId="0" fontId="40" fillId="0" borderId="14" xfId="0" applyFont="1" applyBorder="1" applyAlignment="1">
      <alignment horizontal="right" wrapText="1" indent="1"/>
    </xf>
    <xf numFmtId="0" fontId="39" fillId="0" borderId="10" xfId="0" applyFont="1" applyBorder="1" applyAlignment="1">
      <alignment horizontal="left" wrapText="1" readingOrder="1"/>
    </xf>
    <xf numFmtId="0" fontId="40" fillId="0" borderId="11" xfId="0" applyFont="1" applyBorder="1" applyAlignment="1">
      <alignment horizontal="right" wrapText="1" indent="1" readingOrder="1"/>
    </xf>
    <xf numFmtId="0" fontId="40" fillId="0" borderId="12" xfId="0" applyFont="1" applyBorder="1" applyAlignment="1">
      <alignment horizontal="right" wrapText="1" indent="1" readingOrder="1"/>
    </xf>
    <xf numFmtId="0" fontId="40" fillId="0" borderId="13" xfId="0" applyFont="1" applyBorder="1" applyAlignment="1">
      <alignment horizontal="left" wrapText="1" readingOrder="1"/>
    </xf>
    <xf numFmtId="0" fontId="40" fillId="0" borderId="15" xfId="0" applyFont="1" applyBorder="1" applyAlignment="1">
      <alignment horizontal="left" wrapText="1" readingOrder="1"/>
    </xf>
    <xf numFmtId="9" fontId="40" fillId="0" borderId="16" xfId="2" applyFont="1" applyBorder="1" applyAlignment="1">
      <alignment horizontal="right" wrapText="1" indent="1"/>
    </xf>
    <xf numFmtId="9" fontId="40" fillId="0" borderId="17" xfId="2" applyFont="1" applyBorder="1" applyAlignment="1">
      <alignment horizontal="right" wrapText="1" indent="1"/>
    </xf>
    <xf numFmtId="0" fontId="2" fillId="0" borderId="0" xfId="0" applyFont="1"/>
    <xf numFmtId="170" fontId="7" fillId="0" borderId="0" xfId="0" applyNumberFormat="1" applyFont="1"/>
    <xf numFmtId="0" fontId="1" fillId="0" borderId="0" xfId="0" applyFont="1"/>
    <xf numFmtId="0" fontId="41" fillId="0" borderId="0" xfId="0" applyFont="1"/>
    <xf numFmtId="169" fontId="7" fillId="0" borderId="0" xfId="2" applyNumberFormat="1" applyFont="1"/>
    <xf numFmtId="169" fontId="7" fillId="0" borderId="0" xfId="0" applyNumberFormat="1" applyFont="1"/>
    <xf numFmtId="0" fontId="15" fillId="0" borderId="8" xfId="0" applyFont="1" applyBorder="1" applyAlignment="1">
      <alignment horizontal="center"/>
    </xf>
    <xf numFmtId="0" fontId="21" fillId="4" borderId="6" xfId="0" applyFont="1" applyFill="1" applyBorder="1" applyAlignment="1">
      <alignment horizontal="right" wrapText="1" readingOrder="1"/>
    </xf>
    <xf numFmtId="0" fontId="21" fillId="4" borderId="7" xfId="0" applyFont="1" applyFill="1" applyBorder="1" applyAlignment="1">
      <alignment horizontal="right" wrapText="1" readingOrder="1"/>
    </xf>
    <xf numFmtId="0" fontId="30" fillId="4" borderId="6" xfId="0" applyFont="1" applyFill="1" applyBorder="1" applyAlignment="1">
      <alignment horizontal="right" wrapText="1"/>
    </xf>
    <xf numFmtId="0" fontId="30" fillId="4" borderId="7" xfId="0" applyFont="1" applyFill="1" applyBorder="1" applyAlignment="1">
      <alignment horizontal="right" wrapText="1"/>
    </xf>
    <xf numFmtId="9" fontId="11" fillId="0" borderId="0" xfId="0" applyNumberFormat="1" applyFont="1"/>
    <xf numFmtId="166" fontId="9" fillId="0" borderId="0" xfId="0" applyNumberFormat="1" applyFont="1"/>
    <xf numFmtId="166" fontId="25" fillId="7" borderId="3" xfId="0" applyNumberFormat="1" applyFont="1" applyFill="1" applyBorder="1" applyAlignment="1">
      <alignment vertical="top" wrapText="1"/>
    </xf>
    <xf numFmtId="170" fontId="25" fillId="8" borderId="3" xfId="0" applyNumberFormat="1" applyFont="1" applyFill="1" applyBorder="1" applyAlignment="1">
      <alignment horizontal="right" vertical="top" wrapText="1" indent="1" readingOrder="1"/>
    </xf>
  </cellXfs>
  <cellStyles count="5">
    <cellStyle name="%20 - Vurgu1" xfId="4" builtinId="30"/>
    <cellStyle name="Normal" xfId="0" builtinId="0"/>
    <cellStyle name="Virgül" xfId="1" builtinId="3"/>
    <cellStyle name="Vurgu1" xfId="3" builtinId="29"/>
    <cellStyle name="Yüzd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W17"/>
  <sheetViews>
    <sheetView zoomScale="124" zoomScaleNormal="100" workbookViewId="0">
      <selection activeCell="O1" sqref="O1"/>
    </sheetView>
  </sheetViews>
  <sheetFormatPr baseColWidth="10" defaultColWidth="8.83203125" defaultRowHeight="15" x14ac:dyDescent="0.2"/>
  <cols>
    <col min="1" max="1" width="25.5" style="78" customWidth="1"/>
    <col min="2" max="2" width="9.33203125" style="72" customWidth="1"/>
    <col min="3" max="7" width="9" style="72" bestFit="1" customWidth="1"/>
    <col min="8" max="9" width="9" style="72" customWidth="1"/>
    <col min="10" max="11" width="8.83203125" style="72" customWidth="1"/>
    <col min="12" max="12" width="3.33203125" style="72" customWidth="1"/>
    <col min="13" max="13" width="25.1640625" style="72" bestFit="1" customWidth="1"/>
    <col min="14" max="15" width="8.83203125" style="72"/>
    <col min="16" max="16" width="11.33203125" style="72" bestFit="1" customWidth="1"/>
    <col min="17" max="17" width="10.33203125" style="72" bestFit="1" customWidth="1"/>
    <col min="18" max="21" width="8.83203125" style="72"/>
    <col min="22" max="23" width="8.83203125" style="72" customWidth="1"/>
    <col min="24" max="16384" width="8.83203125" style="72"/>
  </cols>
  <sheetData>
    <row r="1" spans="1:23" ht="16" x14ac:dyDescent="0.2">
      <c r="A1" s="70" t="s">
        <v>3</v>
      </c>
      <c r="B1" s="71" t="s">
        <v>4</v>
      </c>
      <c r="C1" s="71" t="s">
        <v>5</v>
      </c>
      <c r="D1" s="71" t="s">
        <v>6</v>
      </c>
      <c r="E1" s="71" t="s">
        <v>7</v>
      </c>
      <c r="F1" s="71" t="s">
        <v>8</v>
      </c>
      <c r="G1" s="71" t="s">
        <v>9</v>
      </c>
      <c r="H1" s="71" t="s">
        <v>10</v>
      </c>
      <c r="I1" s="71" t="s">
        <v>75</v>
      </c>
      <c r="J1" s="71" t="s">
        <v>166</v>
      </c>
      <c r="K1" s="71" t="s">
        <v>167</v>
      </c>
      <c r="M1" s="73"/>
      <c r="N1" s="71" t="s">
        <v>4</v>
      </c>
      <c r="O1" s="71" t="s">
        <v>252</v>
      </c>
      <c r="P1" s="71" t="s">
        <v>6</v>
      </c>
      <c r="Q1" s="71" t="s">
        <v>7</v>
      </c>
      <c r="R1" s="71" t="s">
        <v>8</v>
      </c>
      <c r="S1" s="71" t="s">
        <v>9</v>
      </c>
      <c r="T1" s="71" t="s">
        <v>10</v>
      </c>
      <c r="U1" s="71" t="s">
        <v>75</v>
      </c>
      <c r="V1" s="71" t="s">
        <v>166</v>
      </c>
      <c r="W1" s="71" t="s">
        <v>167</v>
      </c>
    </row>
    <row r="2" spans="1:23" ht="16" x14ac:dyDescent="0.2">
      <c r="A2" s="67" t="s">
        <v>26</v>
      </c>
      <c r="B2" s="79">
        <f t="shared" ref="B2:K2" si="0">+B3+B10</f>
        <v>100000</v>
      </c>
      <c r="C2" s="79">
        <f t="shared" si="0"/>
        <v>100000</v>
      </c>
      <c r="D2" s="79">
        <f t="shared" si="0"/>
        <v>101000</v>
      </c>
      <c r="E2" s="79">
        <f t="shared" si="0"/>
        <v>151000</v>
      </c>
      <c r="F2" s="79">
        <f t="shared" si="0"/>
        <v>151800</v>
      </c>
      <c r="G2" s="79">
        <f t="shared" si="0"/>
        <v>167000</v>
      </c>
      <c r="H2" s="79">
        <f t="shared" si="0"/>
        <v>303600</v>
      </c>
      <c r="I2" s="79">
        <f t="shared" si="0"/>
        <v>299880</v>
      </c>
      <c r="J2" s="79">
        <f t="shared" si="0"/>
        <v>242440</v>
      </c>
      <c r="K2" s="79">
        <f t="shared" si="0"/>
        <v>692440</v>
      </c>
      <c r="M2" s="67" t="s">
        <v>27</v>
      </c>
      <c r="N2" s="82">
        <f>+N3+N8+N11</f>
        <v>100000</v>
      </c>
      <c r="O2" s="82">
        <f t="shared" ref="O2:T2" si="1">+O3+O8+O11</f>
        <v>100000</v>
      </c>
      <c r="P2" s="82">
        <f t="shared" si="1"/>
        <v>101000</v>
      </c>
      <c r="Q2" s="82">
        <f t="shared" si="1"/>
        <v>151000</v>
      </c>
      <c r="R2" s="82">
        <f t="shared" si="1"/>
        <v>151800</v>
      </c>
      <c r="S2" s="82">
        <f t="shared" si="1"/>
        <v>167000</v>
      </c>
      <c r="T2" s="82">
        <f t="shared" si="1"/>
        <v>303600</v>
      </c>
      <c r="U2" s="82">
        <f t="shared" ref="U2:W2" si="2">+U3+U8+U11</f>
        <v>299880</v>
      </c>
      <c r="V2" s="82">
        <f t="shared" si="2"/>
        <v>242440</v>
      </c>
      <c r="W2" s="82">
        <f t="shared" si="2"/>
        <v>692440</v>
      </c>
    </row>
    <row r="3" spans="1:23" x14ac:dyDescent="0.2">
      <c r="A3" s="68" t="s">
        <v>11</v>
      </c>
      <c r="B3" s="80">
        <f>+B4+B5+B6+B7+B8+B9</f>
        <v>100000</v>
      </c>
      <c r="C3" s="80">
        <f t="shared" ref="C3:K3" si="3">+C4+C5+C6+C7+C8+C9</f>
        <v>50000</v>
      </c>
      <c r="D3" s="80">
        <f t="shared" si="3"/>
        <v>51000</v>
      </c>
      <c r="E3" s="80">
        <f t="shared" si="3"/>
        <v>81000</v>
      </c>
      <c r="F3" s="80">
        <f t="shared" si="3"/>
        <v>81800</v>
      </c>
      <c r="G3" s="80">
        <f t="shared" si="3"/>
        <v>97300</v>
      </c>
      <c r="H3" s="80">
        <f t="shared" si="3"/>
        <v>238200</v>
      </c>
      <c r="I3" s="80">
        <f t="shared" si="3"/>
        <v>234480</v>
      </c>
      <c r="J3" s="80">
        <f t="shared" si="3"/>
        <v>177040</v>
      </c>
      <c r="K3" s="80">
        <f t="shared" si="3"/>
        <v>627040</v>
      </c>
      <c r="M3" s="68" t="s">
        <v>28</v>
      </c>
      <c r="N3" s="83">
        <f>+N4+N5+N6+N7</f>
        <v>0</v>
      </c>
      <c r="O3" s="83">
        <f t="shared" ref="O3:T3" si="4">+O4+O5+O6+O7</f>
        <v>0</v>
      </c>
      <c r="P3" s="83">
        <f t="shared" si="4"/>
        <v>1000</v>
      </c>
      <c r="Q3" s="83">
        <f t="shared" si="4"/>
        <v>1000</v>
      </c>
      <c r="R3" s="83">
        <f t="shared" si="4"/>
        <v>1160</v>
      </c>
      <c r="S3" s="83">
        <f t="shared" si="4"/>
        <v>4200</v>
      </c>
      <c r="T3" s="83">
        <f t="shared" si="4"/>
        <v>33720</v>
      </c>
      <c r="U3" s="83">
        <f t="shared" ref="U3:W3" si="5">+U4+U5+U6+U7</f>
        <v>67440</v>
      </c>
      <c r="V3" s="83">
        <f t="shared" si="5"/>
        <v>10000</v>
      </c>
      <c r="W3" s="83">
        <f t="shared" si="5"/>
        <v>10000</v>
      </c>
    </row>
    <row r="4" spans="1:23" x14ac:dyDescent="0.2">
      <c r="A4" s="69" t="s">
        <v>12</v>
      </c>
      <c r="B4" s="74">
        <v>100000</v>
      </c>
      <c r="C4" s="74">
        <v>20000</v>
      </c>
      <c r="D4" s="74">
        <v>6600</v>
      </c>
      <c r="E4" s="74">
        <f t="shared" ref="E4" si="6">+D4</f>
        <v>6600</v>
      </c>
      <c r="F4" s="74">
        <v>6400</v>
      </c>
      <c r="G4" s="81">
        <f>+S2-G10-G5-G6-G7-G8-G9</f>
        <v>24600</v>
      </c>
      <c r="H4" s="81">
        <f>+T2-H10-H5-H6-H7-H8-H9</f>
        <v>145200</v>
      </c>
      <c r="I4" s="81">
        <f>+U2-I10-I5-I6-I7-I8-I9</f>
        <v>141480</v>
      </c>
      <c r="J4" s="81">
        <f>+V2-J10-J5-J6-J7-J8-J9</f>
        <v>84040</v>
      </c>
      <c r="K4" s="81">
        <f>+W2-K10-K5-K6-K7-K8-K9</f>
        <v>534040</v>
      </c>
      <c r="M4" s="75" t="s">
        <v>29</v>
      </c>
      <c r="N4" s="76"/>
      <c r="O4" s="76">
        <f>+N4</f>
        <v>0</v>
      </c>
      <c r="P4" s="76">
        <f t="shared" ref="P4:T4" si="7">+O4</f>
        <v>0</v>
      </c>
      <c r="Q4" s="76">
        <f t="shared" si="7"/>
        <v>0</v>
      </c>
      <c r="R4" s="76">
        <f t="shared" si="7"/>
        <v>0</v>
      </c>
      <c r="S4" s="76">
        <f t="shared" si="7"/>
        <v>0</v>
      </c>
      <c r="T4" s="76">
        <f t="shared" si="7"/>
        <v>0</v>
      </c>
      <c r="U4" s="76">
        <f t="shared" ref="U4:U5" si="8">+T4</f>
        <v>0</v>
      </c>
      <c r="V4" s="76">
        <f t="shared" ref="V4:V6" si="9">+U4</f>
        <v>0</v>
      </c>
      <c r="W4" s="76">
        <f t="shared" ref="W4:W7" si="10">+V4</f>
        <v>0</v>
      </c>
    </row>
    <row r="5" spans="1:23" x14ac:dyDescent="0.2">
      <c r="A5" s="69" t="s">
        <v>13</v>
      </c>
      <c r="B5" s="74"/>
      <c r="C5" s="74">
        <f t="shared" ref="C5:C8" si="11">+B5</f>
        <v>0</v>
      </c>
      <c r="D5" s="74">
        <v>10000</v>
      </c>
      <c r="E5" s="74">
        <f t="shared" ref="E5:E9" si="12">+D5</f>
        <v>10000</v>
      </c>
      <c r="F5" s="74">
        <v>11000</v>
      </c>
      <c r="G5" s="74">
        <f t="shared" ref="G5:G8" si="13">+F5</f>
        <v>11000</v>
      </c>
      <c r="H5" s="74">
        <v>13000</v>
      </c>
      <c r="I5" s="74">
        <f t="shared" ref="I5:I9" si="14">+H5</f>
        <v>13000</v>
      </c>
      <c r="J5" s="74">
        <f t="shared" ref="J5:J9" si="15">+I5</f>
        <v>13000</v>
      </c>
      <c r="K5" s="74">
        <f t="shared" ref="K5:K9" si="16">+J5</f>
        <v>13000</v>
      </c>
      <c r="M5" s="75" t="s">
        <v>30</v>
      </c>
      <c r="N5" s="76"/>
      <c r="O5" s="76">
        <f t="shared" ref="O5:T7" si="17">+N5</f>
        <v>0</v>
      </c>
      <c r="P5" s="76">
        <v>1000</v>
      </c>
      <c r="Q5" s="76">
        <f t="shared" si="17"/>
        <v>1000</v>
      </c>
      <c r="R5" s="76">
        <f t="shared" si="17"/>
        <v>1000</v>
      </c>
      <c r="S5" s="76">
        <f t="shared" si="17"/>
        <v>1000</v>
      </c>
      <c r="T5" s="76">
        <v>5000</v>
      </c>
      <c r="U5" s="76">
        <f t="shared" si="8"/>
        <v>5000</v>
      </c>
      <c r="V5" s="76">
        <f t="shared" si="9"/>
        <v>5000</v>
      </c>
      <c r="W5" s="76">
        <f t="shared" si="10"/>
        <v>5000</v>
      </c>
    </row>
    <row r="6" spans="1:23" x14ac:dyDescent="0.2">
      <c r="A6" s="69" t="s">
        <v>14</v>
      </c>
      <c r="B6" s="74"/>
      <c r="C6" s="74">
        <f t="shared" si="11"/>
        <v>0</v>
      </c>
      <c r="D6" s="74">
        <f t="shared" ref="D6:D7" si="18">+C6</f>
        <v>0</v>
      </c>
      <c r="E6" s="74">
        <v>30000</v>
      </c>
      <c r="F6" s="74">
        <f t="shared" ref="F6:F9" si="19">+E6</f>
        <v>30000</v>
      </c>
      <c r="G6" s="74">
        <f t="shared" si="13"/>
        <v>30000</v>
      </c>
      <c r="H6" s="74">
        <f t="shared" ref="H6" si="20">+G6</f>
        <v>30000</v>
      </c>
      <c r="I6" s="74">
        <f t="shared" si="14"/>
        <v>30000</v>
      </c>
      <c r="J6" s="74">
        <f t="shared" si="15"/>
        <v>30000</v>
      </c>
      <c r="K6" s="74">
        <f t="shared" si="16"/>
        <v>30000</v>
      </c>
      <c r="M6" s="75" t="s">
        <v>31</v>
      </c>
      <c r="N6" s="76"/>
      <c r="O6" s="76">
        <f t="shared" si="17"/>
        <v>0</v>
      </c>
      <c r="P6" s="76">
        <f t="shared" si="17"/>
        <v>0</v>
      </c>
      <c r="Q6" s="76">
        <f t="shared" si="17"/>
        <v>0</v>
      </c>
      <c r="R6" s="76">
        <v>160</v>
      </c>
      <c r="S6" s="76">
        <v>3200</v>
      </c>
      <c r="T6" s="76">
        <v>28720</v>
      </c>
      <c r="U6" s="76">
        <v>5000</v>
      </c>
      <c r="V6" s="76">
        <f t="shared" si="9"/>
        <v>5000</v>
      </c>
      <c r="W6" s="76">
        <f t="shared" si="10"/>
        <v>5000</v>
      </c>
    </row>
    <row r="7" spans="1:23" x14ac:dyDescent="0.2">
      <c r="A7" s="69" t="s">
        <v>15</v>
      </c>
      <c r="B7" s="74"/>
      <c r="C7" s="74">
        <f t="shared" si="11"/>
        <v>0</v>
      </c>
      <c r="D7" s="74">
        <f t="shared" si="18"/>
        <v>0</v>
      </c>
      <c r="E7" s="74">
        <f t="shared" si="12"/>
        <v>0</v>
      </c>
      <c r="F7" s="74">
        <v>1000</v>
      </c>
      <c r="G7" s="74">
        <f t="shared" si="13"/>
        <v>1000</v>
      </c>
      <c r="H7" s="74">
        <v>30000</v>
      </c>
      <c r="I7" s="74">
        <f t="shared" si="14"/>
        <v>30000</v>
      </c>
      <c r="J7" s="74">
        <f t="shared" si="15"/>
        <v>30000</v>
      </c>
      <c r="K7" s="74">
        <f t="shared" si="16"/>
        <v>30000</v>
      </c>
      <c r="M7" s="73" t="s">
        <v>32</v>
      </c>
      <c r="N7" s="76"/>
      <c r="O7" s="76">
        <f t="shared" si="17"/>
        <v>0</v>
      </c>
      <c r="P7" s="76">
        <f t="shared" si="17"/>
        <v>0</v>
      </c>
      <c r="Q7" s="76">
        <f t="shared" si="17"/>
        <v>0</v>
      </c>
      <c r="R7" s="76">
        <f t="shared" si="17"/>
        <v>0</v>
      </c>
      <c r="S7" s="76">
        <f t="shared" si="17"/>
        <v>0</v>
      </c>
      <c r="T7" s="76">
        <f t="shared" si="17"/>
        <v>0</v>
      </c>
      <c r="U7" s="76">
        <f>T16/2</f>
        <v>57440</v>
      </c>
      <c r="V7" s="76">
        <v>0</v>
      </c>
      <c r="W7" s="76">
        <f t="shared" si="10"/>
        <v>0</v>
      </c>
    </row>
    <row r="8" spans="1:23" x14ac:dyDescent="0.2">
      <c r="A8" s="69" t="s">
        <v>16</v>
      </c>
      <c r="B8" s="74"/>
      <c r="C8" s="74">
        <f t="shared" si="11"/>
        <v>0</v>
      </c>
      <c r="D8" s="74">
        <v>2000</v>
      </c>
      <c r="E8" s="74">
        <f t="shared" si="12"/>
        <v>2000</v>
      </c>
      <c r="F8" s="74">
        <v>1000</v>
      </c>
      <c r="G8" s="74">
        <f t="shared" si="13"/>
        <v>1000</v>
      </c>
      <c r="H8" s="74">
        <v>20000</v>
      </c>
      <c r="I8" s="74">
        <f t="shared" si="14"/>
        <v>20000</v>
      </c>
      <c r="J8" s="74">
        <f t="shared" si="15"/>
        <v>20000</v>
      </c>
      <c r="K8" s="74">
        <f t="shared" si="16"/>
        <v>20000</v>
      </c>
      <c r="M8" s="68" t="s">
        <v>33</v>
      </c>
      <c r="N8" s="83">
        <f>+N9+N10</f>
        <v>0</v>
      </c>
      <c r="O8" s="83">
        <f t="shared" ref="O8:T8" si="21">+O9+O10</f>
        <v>0</v>
      </c>
      <c r="P8" s="83">
        <f t="shared" si="21"/>
        <v>0</v>
      </c>
      <c r="Q8" s="83">
        <f t="shared" si="21"/>
        <v>50000</v>
      </c>
      <c r="R8" s="83">
        <f t="shared" si="21"/>
        <v>50000</v>
      </c>
      <c r="S8" s="83">
        <f t="shared" si="21"/>
        <v>50000</v>
      </c>
      <c r="T8" s="83">
        <f t="shared" si="21"/>
        <v>55000</v>
      </c>
      <c r="U8" s="83">
        <f t="shared" ref="U8:W8" si="22">+U9+U10</f>
        <v>55000</v>
      </c>
      <c r="V8" s="83">
        <f t="shared" si="22"/>
        <v>55000</v>
      </c>
      <c r="W8" s="83">
        <f t="shared" si="22"/>
        <v>55000</v>
      </c>
    </row>
    <row r="9" spans="1:23" x14ac:dyDescent="0.2">
      <c r="A9" s="69" t="s">
        <v>17</v>
      </c>
      <c r="B9" s="74"/>
      <c r="C9" s="74">
        <v>30000</v>
      </c>
      <c r="D9" s="74">
        <v>32400</v>
      </c>
      <c r="E9" s="74">
        <f t="shared" si="12"/>
        <v>32400</v>
      </c>
      <c r="F9" s="74">
        <f t="shared" si="19"/>
        <v>32400</v>
      </c>
      <c r="G9" s="74">
        <f>+F9-2700</f>
        <v>29700</v>
      </c>
      <c r="H9" s="74">
        <v>0</v>
      </c>
      <c r="I9" s="74">
        <f t="shared" si="14"/>
        <v>0</v>
      </c>
      <c r="J9" s="74">
        <f t="shared" si="15"/>
        <v>0</v>
      </c>
      <c r="K9" s="74">
        <f t="shared" si="16"/>
        <v>0</v>
      </c>
      <c r="M9" s="75" t="s">
        <v>29</v>
      </c>
      <c r="N9" s="76"/>
      <c r="O9" s="76">
        <f>+N9</f>
        <v>0</v>
      </c>
      <c r="P9" s="76">
        <f t="shared" ref="P9:U9" si="23">+O9</f>
        <v>0</v>
      </c>
      <c r="Q9" s="76">
        <v>50000</v>
      </c>
      <c r="R9" s="76">
        <f t="shared" si="23"/>
        <v>50000</v>
      </c>
      <c r="S9" s="76">
        <f t="shared" si="23"/>
        <v>50000</v>
      </c>
      <c r="T9" s="76">
        <v>55000</v>
      </c>
      <c r="U9" s="76">
        <f t="shared" si="23"/>
        <v>55000</v>
      </c>
      <c r="V9" s="76">
        <f t="shared" ref="V9:V10" si="24">+U9</f>
        <v>55000</v>
      </c>
      <c r="W9" s="76">
        <f t="shared" ref="W9:W10" si="25">+V9</f>
        <v>55000</v>
      </c>
    </row>
    <row r="10" spans="1:23" x14ac:dyDescent="0.2">
      <c r="A10" s="69" t="s">
        <v>18</v>
      </c>
      <c r="B10" s="80">
        <f>+B11+B14+B17</f>
        <v>0</v>
      </c>
      <c r="C10" s="80">
        <f>+C11+C14+C17</f>
        <v>50000</v>
      </c>
      <c r="D10" s="80">
        <f t="shared" ref="D10:H10" si="26">+D11+D14+D17</f>
        <v>50000</v>
      </c>
      <c r="E10" s="80">
        <f t="shared" si="26"/>
        <v>70000</v>
      </c>
      <c r="F10" s="80">
        <f t="shared" si="26"/>
        <v>70000</v>
      </c>
      <c r="G10" s="80">
        <f t="shared" si="26"/>
        <v>69700</v>
      </c>
      <c r="H10" s="80">
        <f t="shared" si="26"/>
        <v>65400</v>
      </c>
      <c r="I10" s="80">
        <f t="shared" ref="I10:K10" si="27">+I11+I14+I17</f>
        <v>65400</v>
      </c>
      <c r="J10" s="80">
        <f t="shared" si="27"/>
        <v>65400</v>
      </c>
      <c r="K10" s="80">
        <f t="shared" si="27"/>
        <v>65400</v>
      </c>
      <c r="M10" s="75" t="s">
        <v>34</v>
      </c>
      <c r="N10" s="76"/>
      <c r="O10" s="76">
        <f>+N10</f>
        <v>0</v>
      </c>
      <c r="P10" s="76">
        <f t="shared" ref="P10:U10" si="28">+O10</f>
        <v>0</v>
      </c>
      <c r="Q10" s="76">
        <f t="shared" si="28"/>
        <v>0</v>
      </c>
      <c r="R10" s="76">
        <f t="shared" si="28"/>
        <v>0</v>
      </c>
      <c r="S10" s="76">
        <f t="shared" si="28"/>
        <v>0</v>
      </c>
      <c r="T10" s="76">
        <f t="shared" si="28"/>
        <v>0</v>
      </c>
      <c r="U10" s="76">
        <f t="shared" si="28"/>
        <v>0</v>
      </c>
      <c r="V10" s="76">
        <f t="shared" si="24"/>
        <v>0</v>
      </c>
      <c r="W10" s="76">
        <f t="shared" si="25"/>
        <v>0</v>
      </c>
    </row>
    <row r="11" spans="1:23" x14ac:dyDescent="0.2">
      <c r="A11" s="69" t="s">
        <v>19</v>
      </c>
      <c r="B11" s="81">
        <f>+B12-B13</f>
        <v>0</v>
      </c>
      <c r="C11" s="81">
        <f t="shared" ref="C11:H11" si="29">+C12-C13</f>
        <v>30000</v>
      </c>
      <c r="D11" s="81">
        <f t="shared" si="29"/>
        <v>30000</v>
      </c>
      <c r="E11" s="81">
        <f t="shared" si="29"/>
        <v>30000</v>
      </c>
      <c r="F11" s="81">
        <f t="shared" si="29"/>
        <v>30000</v>
      </c>
      <c r="G11" s="81">
        <f t="shared" si="29"/>
        <v>29700</v>
      </c>
      <c r="H11" s="81">
        <f t="shared" si="29"/>
        <v>26400</v>
      </c>
      <c r="I11" s="81">
        <f t="shared" ref="I11:K11" si="30">+I12-I13</f>
        <v>26400</v>
      </c>
      <c r="J11" s="81">
        <f t="shared" si="30"/>
        <v>26400</v>
      </c>
      <c r="K11" s="81">
        <f t="shared" si="30"/>
        <v>26400</v>
      </c>
      <c r="M11" s="68" t="s">
        <v>35</v>
      </c>
      <c r="N11" s="83">
        <f>+N12-N13+N14+N15+N16</f>
        <v>100000</v>
      </c>
      <c r="O11" s="83">
        <f t="shared" ref="O11:T11" si="31">+O12-O13+O14+O15+O16</f>
        <v>100000</v>
      </c>
      <c r="P11" s="83">
        <f t="shared" si="31"/>
        <v>100000</v>
      </c>
      <c r="Q11" s="83">
        <f t="shared" si="31"/>
        <v>100000</v>
      </c>
      <c r="R11" s="83">
        <f t="shared" si="31"/>
        <v>100640</v>
      </c>
      <c r="S11" s="83">
        <f t="shared" si="31"/>
        <v>112800</v>
      </c>
      <c r="T11" s="83">
        <f t="shared" si="31"/>
        <v>214880</v>
      </c>
      <c r="U11" s="83">
        <f t="shared" ref="U11:W11" si="32">+U12-U13+U14+U15+U16</f>
        <v>177440</v>
      </c>
      <c r="V11" s="83">
        <f t="shared" si="32"/>
        <v>177440</v>
      </c>
      <c r="W11" s="83">
        <f t="shared" si="32"/>
        <v>627440</v>
      </c>
    </row>
    <row r="12" spans="1:23" x14ac:dyDescent="0.2">
      <c r="A12" s="69" t="s">
        <v>20</v>
      </c>
      <c r="B12" s="74"/>
      <c r="C12" s="74">
        <v>30000</v>
      </c>
      <c r="D12" s="74">
        <f t="shared" ref="D12:I12" si="33">+C12</f>
        <v>30000</v>
      </c>
      <c r="E12" s="74">
        <f t="shared" si="33"/>
        <v>30000</v>
      </c>
      <c r="F12" s="74">
        <f t="shared" si="33"/>
        <v>30000</v>
      </c>
      <c r="G12" s="74">
        <f t="shared" si="33"/>
        <v>30000</v>
      </c>
      <c r="H12" s="74">
        <f t="shared" si="33"/>
        <v>30000</v>
      </c>
      <c r="I12" s="74">
        <f t="shared" si="33"/>
        <v>30000</v>
      </c>
      <c r="J12" s="74">
        <f t="shared" ref="J12:J13" si="34">+I12</f>
        <v>30000</v>
      </c>
      <c r="K12" s="74">
        <f t="shared" ref="K12:K13" si="35">+J12</f>
        <v>30000</v>
      </c>
      <c r="M12" s="75" t="s">
        <v>36</v>
      </c>
      <c r="N12" s="76">
        <v>100000</v>
      </c>
      <c r="O12" s="76">
        <f>+N12</f>
        <v>100000</v>
      </c>
      <c r="P12" s="76">
        <f t="shared" ref="P12:W16" si="36">+O12</f>
        <v>100000</v>
      </c>
      <c r="Q12" s="76">
        <f t="shared" si="36"/>
        <v>100000</v>
      </c>
      <c r="R12" s="76">
        <f t="shared" si="36"/>
        <v>100000</v>
      </c>
      <c r="S12" s="76">
        <f t="shared" si="36"/>
        <v>100000</v>
      </c>
      <c r="T12" s="76">
        <f t="shared" si="36"/>
        <v>100000</v>
      </c>
      <c r="U12" s="76">
        <f t="shared" si="36"/>
        <v>100000</v>
      </c>
      <c r="V12" s="76">
        <v>150000</v>
      </c>
      <c r="W12" s="76">
        <v>300000</v>
      </c>
    </row>
    <row r="13" spans="1:23" x14ac:dyDescent="0.2">
      <c r="A13" s="69" t="s">
        <v>21</v>
      </c>
      <c r="B13" s="74"/>
      <c r="C13" s="74">
        <f>+B13</f>
        <v>0</v>
      </c>
      <c r="D13" s="74">
        <f t="shared" ref="D13:I13" si="37">+C13</f>
        <v>0</v>
      </c>
      <c r="E13" s="74">
        <f t="shared" si="37"/>
        <v>0</v>
      </c>
      <c r="F13" s="74">
        <f t="shared" si="37"/>
        <v>0</v>
      </c>
      <c r="G13" s="74">
        <v>300</v>
      </c>
      <c r="H13" s="74">
        <v>3600</v>
      </c>
      <c r="I13" s="74">
        <f t="shared" si="37"/>
        <v>3600</v>
      </c>
      <c r="J13" s="74">
        <f t="shared" si="34"/>
        <v>3600</v>
      </c>
      <c r="K13" s="74">
        <f t="shared" si="35"/>
        <v>3600</v>
      </c>
      <c r="M13" s="77" t="s">
        <v>37</v>
      </c>
      <c r="N13" s="76"/>
      <c r="O13" s="76">
        <f t="shared" ref="O13:O16" si="38">+N13</f>
        <v>0</v>
      </c>
      <c r="P13" s="76">
        <f t="shared" si="36"/>
        <v>0</v>
      </c>
      <c r="Q13" s="76">
        <f t="shared" si="36"/>
        <v>0</v>
      </c>
      <c r="R13" s="76">
        <f t="shared" si="36"/>
        <v>0</v>
      </c>
      <c r="S13" s="76">
        <f t="shared" si="36"/>
        <v>0</v>
      </c>
      <c r="T13" s="76">
        <f t="shared" si="36"/>
        <v>0</v>
      </c>
      <c r="U13" s="76">
        <f t="shared" si="36"/>
        <v>0</v>
      </c>
      <c r="V13" s="76">
        <f t="shared" si="36"/>
        <v>0</v>
      </c>
      <c r="W13" s="76">
        <f t="shared" si="36"/>
        <v>0</v>
      </c>
    </row>
    <row r="14" spans="1:23" x14ac:dyDescent="0.2">
      <c r="A14" s="69" t="s">
        <v>22</v>
      </c>
      <c r="B14" s="81">
        <f>+B15-B16</f>
        <v>0</v>
      </c>
      <c r="C14" s="81">
        <f>+C15-C16</f>
        <v>20000</v>
      </c>
      <c r="D14" s="81">
        <f t="shared" ref="D14:H14" si="39">+D15-D16</f>
        <v>20000</v>
      </c>
      <c r="E14" s="81">
        <f t="shared" si="39"/>
        <v>20000</v>
      </c>
      <c r="F14" s="81">
        <f t="shared" si="39"/>
        <v>20000</v>
      </c>
      <c r="G14" s="81">
        <f t="shared" si="39"/>
        <v>20000</v>
      </c>
      <c r="H14" s="81">
        <f t="shared" si="39"/>
        <v>19000</v>
      </c>
      <c r="I14" s="81">
        <f t="shared" ref="I14:K14" si="40">+I15-I16</f>
        <v>19000</v>
      </c>
      <c r="J14" s="81">
        <f t="shared" si="40"/>
        <v>19000</v>
      </c>
      <c r="K14" s="81">
        <f t="shared" si="40"/>
        <v>19000</v>
      </c>
      <c r="M14" s="77" t="s">
        <v>38</v>
      </c>
      <c r="N14" s="76"/>
      <c r="O14" s="76">
        <f t="shared" si="38"/>
        <v>0</v>
      </c>
      <c r="P14" s="76">
        <f t="shared" si="36"/>
        <v>0</v>
      </c>
      <c r="Q14" s="76">
        <f t="shared" si="36"/>
        <v>0</v>
      </c>
      <c r="R14" s="76">
        <f t="shared" si="36"/>
        <v>0</v>
      </c>
      <c r="S14" s="76">
        <f t="shared" si="36"/>
        <v>0</v>
      </c>
      <c r="T14" s="76">
        <f t="shared" si="36"/>
        <v>0</v>
      </c>
      <c r="U14" s="76">
        <f t="shared" si="36"/>
        <v>0</v>
      </c>
      <c r="V14" s="76">
        <f t="shared" si="36"/>
        <v>0</v>
      </c>
      <c r="W14" s="76">
        <v>300000</v>
      </c>
    </row>
    <row r="15" spans="1:23" x14ac:dyDescent="0.2">
      <c r="A15" s="69" t="s">
        <v>23</v>
      </c>
      <c r="B15" s="74"/>
      <c r="C15" s="74">
        <v>20000</v>
      </c>
      <c r="D15" s="74">
        <f t="shared" ref="D15:I15" si="41">+C15</f>
        <v>20000</v>
      </c>
      <c r="E15" s="74">
        <f t="shared" si="41"/>
        <v>20000</v>
      </c>
      <c r="F15" s="74">
        <f t="shared" si="41"/>
        <v>20000</v>
      </c>
      <c r="G15" s="74">
        <f t="shared" si="41"/>
        <v>20000</v>
      </c>
      <c r="H15" s="74">
        <f t="shared" si="41"/>
        <v>20000</v>
      </c>
      <c r="I15" s="74">
        <f t="shared" si="41"/>
        <v>20000</v>
      </c>
      <c r="J15" s="74">
        <f t="shared" ref="J15:J17" si="42">+I15</f>
        <v>20000</v>
      </c>
      <c r="K15" s="74">
        <f t="shared" ref="K15:K17" si="43">+J15</f>
        <v>20000</v>
      </c>
      <c r="M15" s="75" t="s">
        <v>39</v>
      </c>
      <c r="N15" s="76"/>
      <c r="O15" s="76">
        <f t="shared" si="38"/>
        <v>0</v>
      </c>
      <c r="P15" s="76">
        <f t="shared" si="36"/>
        <v>0</v>
      </c>
      <c r="Q15" s="76">
        <f t="shared" si="36"/>
        <v>0</v>
      </c>
      <c r="R15" s="76">
        <f t="shared" si="36"/>
        <v>0</v>
      </c>
      <c r="S15" s="76">
        <f t="shared" si="36"/>
        <v>0</v>
      </c>
      <c r="T15" s="76">
        <f t="shared" si="36"/>
        <v>0</v>
      </c>
      <c r="U15" s="76">
        <f>T16/2</f>
        <v>57440</v>
      </c>
      <c r="V15" s="76">
        <v>7440</v>
      </c>
      <c r="W15" s="76">
        <f t="shared" si="36"/>
        <v>7440</v>
      </c>
    </row>
    <row r="16" spans="1:23" x14ac:dyDescent="0.2">
      <c r="A16" s="69" t="s">
        <v>24</v>
      </c>
      <c r="B16" s="74"/>
      <c r="C16" s="74">
        <f>+B16</f>
        <v>0</v>
      </c>
      <c r="D16" s="74">
        <f t="shared" ref="D16:I16" si="44">+C16</f>
        <v>0</v>
      </c>
      <c r="E16" s="74">
        <f t="shared" si="44"/>
        <v>0</v>
      </c>
      <c r="F16" s="74">
        <f t="shared" si="44"/>
        <v>0</v>
      </c>
      <c r="G16" s="74">
        <f t="shared" si="44"/>
        <v>0</v>
      </c>
      <c r="H16" s="74">
        <v>1000</v>
      </c>
      <c r="I16" s="74">
        <f t="shared" si="44"/>
        <v>1000</v>
      </c>
      <c r="J16" s="74">
        <f t="shared" si="42"/>
        <v>1000</v>
      </c>
      <c r="K16" s="74">
        <f t="shared" si="43"/>
        <v>1000</v>
      </c>
      <c r="M16" s="75" t="s">
        <v>40</v>
      </c>
      <c r="N16" s="76"/>
      <c r="O16" s="76">
        <f t="shared" si="38"/>
        <v>0</v>
      </c>
      <c r="P16" s="76">
        <f t="shared" si="36"/>
        <v>0</v>
      </c>
      <c r="Q16" s="76">
        <f t="shared" si="36"/>
        <v>0</v>
      </c>
      <c r="R16" s="76">
        <v>640</v>
      </c>
      <c r="S16" s="76">
        <v>12800</v>
      </c>
      <c r="T16" s="76">
        <v>114880</v>
      </c>
      <c r="U16" s="76">
        <v>20000</v>
      </c>
      <c r="V16" s="76">
        <f t="shared" si="36"/>
        <v>20000</v>
      </c>
      <c r="W16" s="76">
        <f t="shared" si="36"/>
        <v>20000</v>
      </c>
    </row>
    <row r="17" spans="1:11" x14ac:dyDescent="0.2">
      <c r="A17" s="69" t="s">
        <v>25</v>
      </c>
      <c r="B17" s="74"/>
      <c r="C17" s="74">
        <f>+B17</f>
        <v>0</v>
      </c>
      <c r="D17" s="74">
        <f t="shared" ref="D17:I17" si="45">+C17</f>
        <v>0</v>
      </c>
      <c r="E17" s="74">
        <v>20000</v>
      </c>
      <c r="F17" s="74">
        <f t="shared" si="45"/>
        <v>20000</v>
      </c>
      <c r="G17" s="74">
        <f t="shared" si="45"/>
        <v>20000</v>
      </c>
      <c r="H17" s="74">
        <f t="shared" si="45"/>
        <v>20000</v>
      </c>
      <c r="I17" s="74">
        <f t="shared" si="45"/>
        <v>20000</v>
      </c>
      <c r="J17" s="74">
        <f t="shared" si="42"/>
        <v>20000</v>
      </c>
      <c r="K17" s="74">
        <f t="shared" si="43"/>
        <v>20000</v>
      </c>
    </row>
  </sheetData>
  <sheetProtection sheet="1" objects="1" scenarios="1" selectLockedCells="1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F14"/>
  <sheetViews>
    <sheetView workbookViewId="0">
      <selection activeCell="C19" sqref="C19"/>
    </sheetView>
  </sheetViews>
  <sheetFormatPr baseColWidth="10" defaultColWidth="28.1640625" defaultRowHeight="15" x14ac:dyDescent="0.2"/>
  <cols>
    <col min="1" max="1" width="28.1640625" style="19"/>
    <col min="2" max="3" width="15.6640625" style="19" customWidth="1"/>
    <col min="4" max="4" width="15.33203125" style="19" customWidth="1"/>
    <col min="5" max="5" width="15.5" style="19" customWidth="1"/>
    <col min="6" max="16384" width="28.1640625" style="19"/>
  </cols>
  <sheetData>
    <row r="1" spans="1:6" x14ac:dyDescent="0.2">
      <c r="A1" s="18" t="s">
        <v>3</v>
      </c>
    </row>
    <row r="2" spans="1:6" ht="15.5" customHeight="1" x14ac:dyDescent="0.2">
      <c r="B2" s="84" t="s">
        <v>8</v>
      </c>
      <c r="C2" s="84" t="s">
        <v>9</v>
      </c>
      <c r="D2" s="84" t="s">
        <v>10</v>
      </c>
      <c r="E2" s="84" t="s">
        <v>75</v>
      </c>
    </row>
    <row r="3" spans="1:6" ht="15.5" customHeight="1" x14ac:dyDescent="0.2">
      <c r="A3" s="20" t="s">
        <v>41</v>
      </c>
      <c r="B3" s="22">
        <v>2000</v>
      </c>
      <c r="C3" s="22">
        <v>50000</v>
      </c>
      <c r="D3" s="22">
        <v>500000</v>
      </c>
      <c r="E3" s="106"/>
      <c r="F3" s="183" t="s">
        <v>249</v>
      </c>
    </row>
    <row r="4" spans="1:6" ht="15.5" customHeight="1" x14ac:dyDescent="0.2">
      <c r="A4" s="21" t="s">
        <v>42</v>
      </c>
      <c r="B4" s="22">
        <v>1200</v>
      </c>
      <c r="C4" s="22">
        <v>30000</v>
      </c>
      <c r="D4" s="22">
        <v>250000</v>
      </c>
    </row>
    <row r="5" spans="1:6" ht="15.5" customHeight="1" x14ac:dyDescent="0.2">
      <c r="A5" s="20" t="s">
        <v>43</v>
      </c>
      <c r="B5" s="22">
        <f>B3-B4</f>
        <v>800</v>
      </c>
      <c r="C5" s="22">
        <v>20000</v>
      </c>
      <c r="D5" s="22">
        <v>250000</v>
      </c>
      <c r="E5" s="106"/>
    </row>
    <row r="6" spans="1:6" ht="15.5" customHeight="1" x14ac:dyDescent="0.2">
      <c r="A6" s="21" t="s">
        <v>44</v>
      </c>
      <c r="B6" s="22">
        <v>1000</v>
      </c>
      <c r="C6" s="22">
        <v>5000</v>
      </c>
      <c r="D6" s="22">
        <v>100000</v>
      </c>
      <c r="F6" s="183" t="s">
        <v>250</v>
      </c>
    </row>
    <row r="7" spans="1:6" ht="15.5" customHeight="1" x14ac:dyDescent="0.2">
      <c r="A7" s="20" t="s">
        <v>45</v>
      </c>
      <c r="B7" s="22">
        <f>B5-B6</f>
        <v>-200</v>
      </c>
      <c r="C7" s="22">
        <v>15000</v>
      </c>
      <c r="D7" s="22">
        <v>150000</v>
      </c>
      <c r="E7" s="106"/>
    </row>
    <row r="8" spans="1:6" ht="15.5" customHeight="1" x14ac:dyDescent="0.2">
      <c r="A8" s="21" t="s">
        <v>46</v>
      </c>
      <c r="B8" s="22">
        <v>1000</v>
      </c>
      <c r="C8" s="22">
        <v>1000</v>
      </c>
      <c r="D8" s="22">
        <v>3000</v>
      </c>
    </row>
    <row r="9" spans="1:6" ht="15.5" customHeight="1" x14ac:dyDescent="0.2">
      <c r="A9" s="21" t="s">
        <v>47</v>
      </c>
      <c r="B9" s="22"/>
      <c r="C9" s="22"/>
      <c r="D9" s="22"/>
    </row>
    <row r="10" spans="1:6" ht="15.5" customHeight="1" x14ac:dyDescent="0.2">
      <c r="A10" s="21" t="s">
        <v>48</v>
      </c>
      <c r="B10" s="22"/>
      <c r="C10" s="22"/>
      <c r="D10" s="22">
        <v>9400</v>
      </c>
    </row>
    <row r="11" spans="1:6" ht="15.5" customHeight="1" x14ac:dyDescent="0.2">
      <c r="A11" s="20" t="s">
        <v>49</v>
      </c>
      <c r="B11" s="22">
        <f>B7+B8</f>
        <v>800</v>
      </c>
      <c r="C11" s="22">
        <v>16000</v>
      </c>
      <c r="D11" s="22">
        <v>143600</v>
      </c>
      <c r="E11" s="106"/>
    </row>
    <row r="12" spans="1:6" ht="15.5" customHeight="1" x14ac:dyDescent="0.2">
      <c r="A12" s="21" t="s">
        <v>50</v>
      </c>
      <c r="B12" s="22">
        <f>B11*0.2</f>
        <v>160</v>
      </c>
      <c r="C12" s="22">
        <v>3200</v>
      </c>
      <c r="D12" s="22">
        <f>D11*0.2</f>
        <v>28720</v>
      </c>
    </row>
    <row r="13" spans="1:6" ht="15.5" customHeight="1" x14ac:dyDescent="0.2">
      <c r="A13" s="20" t="s">
        <v>51</v>
      </c>
      <c r="B13" s="22">
        <f>B11-B12</f>
        <v>640</v>
      </c>
      <c r="C13" s="22">
        <v>12800</v>
      </c>
      <c r="D13" s="22">
        <f>D11-D12</f>
        <v>114880</v>
      </c>
      <c r="E13" s="106"/>
      <c r="F13" s="183" t="s">
        <v>251</v>
      </c>
    </row>
    <row r="14" spans="1:6" ht="15.5" customHeight="1" x14ac:dyDescent="0.2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2"/>
  <sheetViews>
    <sheetView zoomScale="158" zoomScaleNormal="106" workbookViewId="0">
      <selection activeCell="G33" sqref="G33"/>
    </sheetView>
  </sheetViews>
  <sheetFormatPr baseColWidth="10" defaultColWidth="8.83203125" defaultRowHeight="15" x14ac:dyDescent="0.2"/>
  <cols>
    <col min="1" max="1" width="18.83203125" style="66" bestFit="1" customWidth="1"/>
    <col min="2" max="4" width="10.5" style="66" bestFit="1" customWidth="1"/>
    <col min="5" max="5" width="8.83203125" style="66"/>
    <col min="6" max="6" width="24.33203125" style="66" bestFit="1" customWidth="1"/>
    <col min="7" max="8" width="8.83203125" style="66"/>
    <col min="9" max="9" width="9.33203125" style="66" customWidth="1"/>
    <col min="10" max="10" width="8.83203125" style="66"/>
    <col min="11" max="11" width="24.33203125" style="66" bestFit="1" customWidth="1"/>
    <col min="12" max="15" width="8.83203125" style="66"/>
    <col min="16" max="16" width="18.6640625" style="66" customWidth="1"/>
    <col min="17" max="17" width="8.83203125" style="66"/>
    <col min="18" max="18" width="2.83203125" style="66" customWidth="1"/>
    <col min="19" max="19" width="23" style="66" bestFit="1" customWidth="1"/>
    <col min="20" max="22" width="8.83203125" style="66"/>
    <col min="23" max="23" width="24.33203125" style="66" bestFit="1" customWidth="1"/>
    <col min="24" max="25" width="9.33203125" style="66" bestFit="1" customWidth="1"/>
    <col min="26" max="26" width="9" style="66" bestFit="1" customWidth="1"/>
    <col min="27" max="27" width="8.83203125" style="66"/>
    <col min="28" max="28" width="19.83203125" style="66" bestFit="1" customWidth="1"/>
    <col min="29" max="33" width="8.83203125" style="66"/>
    <col min="34" max="34" width="22.83203125" style="66" customWidth="1"/>
    <col min="35" max="37" width="10.33203125" style="66" bestFit="1" customWidth="1"/>
    <col min="38" max="38" width="10.5" style="66" bestFit="1" customWidth="1"/>
    <col min="39" max="16384" width="8.83203125" style="66"/>
  </cols>
  <sheetData>
    <row r="1" spans="1:38" ht="16" thickBot="1" x14ac:dyDescent="0.25">
      <c r="P1" s="187" t="s">
        <v>210</v>
      </c>
      <c r="Q1" s="187"/>
      <c r="R1" s="187"/>
      <c r="S1" s="187"/>
      <c r="T1" s="187"/>
      <c r="U1" s="187"/>
    </row>
    <row r="2" spans="1:38" ht="17" thickBot="1" x14ac:dyDescent="0.25">
      <c r="B2" s="18">
        <v>2008</v>
      </c>
      <c r="C2" s="18">
        <v>2009</v>
      </c>
      <c r="D2" s="18">
        <v>2010</v>
      </c>
      <c r="F2" s="18" t="s">
        <v>172</v>
      </c>
      <c r="G2" s="86">
        <v>2008</v>
      </c>
      <c r="H2" s="86">
        <v>2009</v>
      </c>
      <c r="I2" s="86">
        <v>2010</v>
      </c>
      <c r="K2" s="97" t="s">
        <v>173</v>
      </c>
      <c r="L2" s="86">
        <v>2009</v>
      </c>
      <c r="M2" s="86">
        <v>2010</v>
      </c>
      <c r="N2" s="86" t="s">
        <v>142</v>
      </c>
      <c r="P2" s="87"/>
      <c r="Q2" s="88"/>
      <c r="R2" s="88"/>
      <c r="S2" s="88"/>
      <c r="T2" s="86" t="s">
        <v>168</v>
      </c>
      <c r="U2" s="86" t="s">
        <v>169</v>
      </c>
      <c r="W2" s="97" t="s">
        <v>173</v>
      </c>
      <c r="X2" s="86">
        <v>2009</v>
      </c>
      <c r="Y2" s="86">
        <v>2010</v>
      </c>
      <c r="Z2" s="86" t="s">
        <v>142</v>
      </c>
      <c r="AB2" s="18" t="s">
        <v>172</v>
      </c>
      <c r="AC2" s="86">
        <v>2008</v>
      </c>
      <c r="AD2" s="86">
        <v>2009</v>
      </c>
      <c r="AE2" s="86">
        <v>2010</v>
      </c>
      <c r="AF2" s="86" t="s">
        <v>171</v>
      </c>
      <c r="AH2" s="97" t="s">
        <v>175</v>
      </c>
      <c r="AI2" s="86">
        <v>2008</v>
      </c>
      <c r="AJ2" s="86">
        <v>2009</v>
      </c>
      <c r="AK2" s="86">
        <v>2010</v>
      </c>
      <c r="AL2" s="86" t="s">
        <v>171</v>
      </c>
    </row>
    <row r="3" spans="1:38" ht="17" thickBot="1" x14ac:dyDescent="0.25">
      <c r="A3" t="s">
        <v>111</v>
      </c>
      <c r="B3" s="85">
        <v>600</v>
      </c>
      <c r="C3" s="85">
        <v>350</v>
      </c>
      <c r="D3" s="85">
        <v>300</v>
      </c>
      <c r="F3" t="s">
        <v>111</v>
      </c>
      <c r="G3" s="109">
        <f>B3</f>
        <v>600</v>
      </c>
      <c r="H3" s="109">
        <f t="shared" ref="H3:I3" si="0">C3</f>
        <v>350</v>
      </c>
      <c r="I3" s="109">
        <f t="shared" si="0"/>
        <v>300</v>
      </c>
      <c r="K3" s="98" t="s">
        <v>41</v>
      </c>
      <c r="L3" s="86"/>
      <c r="M3" s="86"/>
      <c r="N3" s="92"/>
      <c r="P3" t="s">
        <v>133</v>
      </c>
      <c r="Q3" s="90">
        <v>30</v>
      </c>
      <c r="R3" s="88"/>
      <c r="S3" s="65" t="s">
        <v>134</v>
      </c>
      <c r="T3" s="94"/>
      <c r="U3" s="90">
        <v>4200</v>
      </c>
      <c r="W3" s="98" t="s">
        <v>41</v>
      </c>
      <c r="X3" s="86"/>
      <c r="Y3" s="86"/>
      <c r="Z3" s="92"/>
      <c r="AB3" t="s">
        <v>111</v>
      </c>
      <c r="AC3" s="90"/>
      <c r="AD3" s="90"/>
      <c r="AE3" s="90"/>
      <c r="AF3" s="94"/>
      <c r="AH3" t="s">
        <v>112</v>
      </c>
      <c r="AI3" s="93"/>
      <c r="AJ3" s="93"/>
      <c r="AK3" s="93"/>
      <c r="AL3" s="95"/>
    </row>
    <row r="4" spans="1:38" ht="17" thickBot="1" x14ac:dyDescent="0.25">
      <c r="A4" t="s">
        <v>113</v>
      </c>
      <c r="B4" s="85">
        <v>2730</v>
      </c>
      <c r="C4" s="85">
        <v>3100</v>
      </c>
      <c r="D4" s="85">
        <v>4200</v>
      </c>
      <c r="F4" t="s">
        <v>178</v>
      </c>
      <c r="G4" s="94">
        <f>B4+B5+B6-B11-B12</f>
        <v>3930</v>
      </c>
      <c r="H4" s="94">
        <f t="shared" ref="H4:I4" si="1">C4+C5+C6-C11-C12</f>
        <v>4440</v>
      </c>
      <c r="I4" s="94">
        <f t="shared" si="1"/>
        <v>6100</v>
      </c>
      <c r="K4" s="99" t="s">
        <v>144</v>
      </c>
      <c r="L4" s="90"/>
      <c r="M4" s="90"/>
      <c r="N4" s="88"/>
      <c r="P4" t="s">
        <v>139</v>
      </c>
      <c r="Q4" s="90">
        <v>8</v>
      </c>
      <c r="R4" s="88"/>
      <c r="S4" s="65" t="s">
        <v>140</v>
      </c>
      <c r="T4" s="94"/>
      <c r="U4" s="90">
        <v>4300</v>
      </c>
      <c r="W4" s="99" t="s">
        <v>144</v>
      </c>
      <c r="X4" s="90"/>
      <c r="Y4" s="90"/>
      <c r="Z4" s="88"/>
      <c r="AB4" t="s">
        <v>114</v>
      </c>
      <c r="AC4" s="94"/>
      <c r="AD4" s="94"/>
      <c r="AE4" s="94"/>
      <c r="AF4" s="94"/>
      <c r="AH4" t="s">
        <v>115</v>
      </c>
      <c r="AI4" s="90"/>
      <c r="AJ4" s="90"/>
      <c r="AK4" s="90"/>
      <c r="AL4" s="86"/>
    </row>
    <row r="5" spans="1:38" ht="17" thickBot="1" x14ac:dyDescent="0.25">
      <c r="A5" t="s">
        <v>116</v>
      </c>
      <c r="B5" s="85">
        <v>2800</v>
      </c>
      <c r="C5" s="85">
        <v>3200</v>
      </c>
      <c r="D5" s="85">
        <v>4300</v>
      </c>
      <c r="F5" t="s">
        <v>117</v>
      </c>
      <c r="G5" s="94">
        <f>B7</f>
        <v>1200</v>
      </c>
      <c r="H5" s="94">
        <f>C7</f>
        <v>1300</v>
      </c>
      <c r="I5" s="94">
        <f>D7</f>
        <v>1450</v>
      </c>
      <c r="K5" s="100" t="s">
        <v>146</v>
      </c>
      <c r="L5" s="90"/>
      <c r="M5" s="90"/>
      <c r="N5" s="88"/>
      <c r="P5" t="s">
        <v>136</v>
      </c>
      <c r="Q5" s="90">
        <v>33</v>
      </c>
      <c r="R5" s="88"/>
      <c r="S5" s="65" t="s">
        <v>137</v>
      </c>
      <c r="T5" s="94"/>
      <c r="U5" s="90">
        <v>2050</v>
      </c>
      <c r="W5" s="100" t="s">
        <v>146</v>
      </c>
      <c r="X5" s="90"/>
      <c r="Y5" s="90"/>
      <c r="Z5" s="88"/>
      <c r="AB5" t="s">
        <v>117</v>
      </c>
      <c r="AC5" s="94"/>
      <c r="AD5" s="94"/>
      <c r="AE5" s="94"/>
      <c r="AF5" s="94"/>
      <c r="AH5" s="18" t="s">
        <v>118</v>
      </c>
      <c r="AI5" s="93"/>
      <c r="AJ5" s="93"/>
      <c r="AK5" s="93"/>
      <c r="AL5" s="95"/>
    </row>
    <row r="6" spans="1:38" ht="17" thickBot="1" x14ac:dyDescent="0.25">
      <c r="A6" t="s">
        <v>119</v>
      </c>
      <c r="B6" s="85">
        <v>0</v>
      </c>
      <c r="C6" s="85">
        <v>0</v>
      </c>
      <c r="D6" s="85">
        <v>0</v>
      </c>
      <c r="F6" s="18" t="s">
        <v>120</v>
      </c>
      <c r="G6" s="94">
        <f>SUM(G3:G5)</f>
        <v>5730</v>
      </c>
      <c r="H6" s="94">
        <f t="shared" ref="H6:I6" si="2">SUM(H3:H5)</f>
        <v>6090</v>
      </c>
      <c r="I6" s="94">
        <f t="shared" si="2"/>
        <v>7850</v>
      </c>
      <c r="K6" s="107" t="s">
        <v>182</v>
      </c>
      <c r="L6" s="90"/>
      <c r="M6" s="90"/>
      <c r="N6" s="88"/>
      <c r="P6" s="88"/>
      <c r="Q6" s="88"/>
      <c r="R6" s="88"/>
      <c r="S6" s="65" t="s">
        <v>176</v>
      </c>
      <c r="T6" s="90"/>
      <c r="U6" s="90" t="s">
        <v>170</v>
      </c>
      <c r="W6" s="107" t="s">
        <v>182</v>
      </c>
      <c r="X6" s="90"/>
      <c r="Y6" s="90"/>
      <c r="Z6" s="88"/>
      <c r="AB6" s="18" t="s">
        <v>120</v>
      </c>
      <c r="AC6" s="94"/>
      <c r="AD6" s="94"/>
      <c r="AE6" s="94"/>
      <c r="AF6" s="96"/>
      <c r="AH6" t="s">
        <v>121</v>
      </c>
      <c r="AI6" s="90"/>
      <c r="AJ6" s="90"/>
      <c r="AK6" s="90"/>
      <c r="AL6" s="86"/>
    </row>
    <row r="7" spans="1:38" ht="17" thickBot="1" x14ac:dyDescent="0.25">
      <c r="A7" t="s">
        <v>117</v>
      </c>
      <c r="B7" s="85">
        <v>1200</v>
      </c>
      <c r="C7" s="85">
        <v>1300</v>
      </c>
      <c r="D7" s="85">
        <v>1450</v>
      </c>
      <c r="F7"/>
      <c r="G7" s="89"/>
      <c r="H7" s="89"/>
      <c r="I7" s="89"/>
      <c r="K7" s="99" t="s">
        <v>148</v>
      </c>
      <c r="L7" s="90"/>
      <c r="M7" s="90"/>
      <c r="N7" s="88"/>
      <c r="P7" s="88"/>
      <c r="Q7" s="88"/>
      <c r="R7" s="88"/>
      <c r="S7" s="65" t="s">
        <v>177</v>
      </c>
      <c r="T7" s="90"/>
      <c r="U7" s="90">
        <v>350</v>
      </c>
      <c r="W7" s="99" t="s">
        <v>148</v>
      </c>
      <c r="X7" s="90"/>
      <c r="Y7" s="90"/>
      <c r="Z7" s="88"/>
      <c r="AB7"/>
      <c r="AC7" s="89"/>
      <c r="AD7" s="89"/>
      <c r="AE7" s="89"/>
      <c r="AF7" s="89"/>
      <c r="AH7" t="s">
        <v>122</v>
      </c>
      <c r="AI7" s="90"/>
      <c r="AJ7" s="90"/>
      <c r="AK7" s="90"/>
      <c r="AL7" s="86"/>
    </row>
    <row r="8" spans="1:38" ht="16" thickBot="1" x14ac:dyDescent="0.25">
      <c r="A8" s="18" t="s">
        <v>123</v>
      </c>
      <c r="B8" s="63">
        <f>SUM(B3:B7)</f>
        <v>7330</v>
      </c>
      <c r="C8" s="63">
        <f>SUM(C3:C7)</f>
        <v>7950</v>
      </c>
      <c r="D8" s="63">
        <f>SUM(D3:D7)</f>
        <v>10250</v>
      </c>
      <c r="F8" t="s">
        <v>124</v>
      </c>
      <c r="G8" s="109">
        <f>B10</f>
        <v>300</v>
      </c>
      <c r="H8" s="109">
        <f t="shared" ref="H8:I8" si="3">C10</f>
        <v>500</v>
      </c>
      <c r="I8" s="109">
        <f t="shared" si="3"/>
        <v>1900</v>
      </c>
      <c r="K8" s="101" t="s">
        <v>150</v>
      </c>
      <c r="L8" s="86"/>
      <c r="M8" s="86"/>
      <c r="N8" s="92"/>
      <c r="P8" s="88"/>
      <c r="Q8" s="88"/>
      <c r="R8" s="88"/>
      <c r="S8" s="88"/>
      <c r="T8" s="89"/>
      <c r="U8" s="89"/>
      <c r="W8" s="101" t="s">
        <v>150</v>
      </c>
      <c r="X8" s="86"/>
      <c r="Y8" s="86"/>
      <c r="Z8" s="92"/>
      <c r="AB8" t="s">
        <v>124</v>
      </c>
      <c r="AC8" s="90"/>
      <c r="AD8" s="90"/>
      <c r="AE8" s="94"/>
      <c r="AF8" s="90"/>
      <c r="AH8" t="s">
        <v>125</v>
      </c>
      <c r="AI8" s="90"/>
      <c r="AJ8" s="90"/>
      <c r="AK8" s="90"/>
      <c r="AL8" s="86"/>
    </row>
    <row r="9" spans="1:38" ht="21" customHeight="1" thickBot="1" x14ac:dyDescent="0.25">
      <c r="A9"/>
      <c r="B9" s="85"/>
      <c r="C9" s="85"/>
      <c r="D9" s="85"/>
      <c r="F9" t="s">
        <v>126</v>
      </c>
      <c r="G9" s="94">
        <f>G10+G11</f>
        <v>5430</v>
      </c>
      <c r="H9" s="94">
        <f t="shared" ref="H9:I9" si="4">H10+H11</f>
        <v>5590</v>
      </c>
      <c r="I9" s="94">
        <f t="shared" si="4"/>
        <v>5950</v>
      </c>
      <c r="K9" s="99" t="s">
        <v>152</v>
      </c>
      <c r="L9" s="188"/>
      <c r="M9" s="188"/>
      <c r="N9" s="190"/>
      <c r="P9" s="88"/>
      <c r="Q9" s="88"/>
      <c r="R9" s="88"/>
      <c r="S9" s="91" t="s">
        <v>178</v>
      </c>
      <c r="T9" s="96"/>
      <c r="U9" s="96">
        <f>+U3+U4-U5-U7</f>
        <v>6100</v>
      </c>
      <c r="W9" s="99" t="s">
        <v>152</v>
      </c>
      <c r="X9" s="188"/>
      <c r="Y9" s="188"/>
      <c r="Z9" s="190"/>
      <c r="AB9" t="s">
        <v>126</v>
      </c>
      <c r="AC9" s="94"/>
      <c r="AD9" s="94"/>
      <c r="AE9" s="94"/>
      <c r="AF9" s="94"/>
      <c r="AH9" s="18" t="s">
        <v>127</v>
      </c>
      <c r="AI9" s="93"/>
      <c r="AJ9" s="93"/>
      <c r="AK9" s="93"/>
      <c r="AL9" s="95"/>
    </row>
    <row r="10" spans="1:38" ht="16" thickBot="1" x14ac:dyDescent="0.25">
      <c r="A10" t="s">
        <v>124</v>
      </c>
      <c r="B10" s="85">
        <v>300</v>
      </c>
      <c r="C10" s="85">
        <v>500</v>
      </c>
      <c r="D10" s="85">
        <v>1900</v>
      </c>
      <c r="F10" t="s">
        <v>128</v>
      </c>
      <c r="G10" s="94">
        <f>B13</f>
        <v>1300</v>
      </c>
      <c r="H10" s="94">
        <f t="shared" ref="H10:I10" si="5">C13</f>
        <v>1200</v>
      </c>
      <c r="I10" s="94">
        <f t="shared" si="5"/>
        <v>1100</v>
      </c>
      <c r="K10" s="101" t="s">
        <v>154</v>
      </c>
      <c r="L10" s="189"/>
      <c r="M10" s="189"/>
      <c r="N10" s="191"/>
      <c r="W10" s="101" t="s">
        <v>154</v>
      </c>
      <c r="X10" s="189"/>
      <c r="Y10" s="189"/>
      <c r="Z10" s="191"/>
      <c r="AB10" t="s">
        <v>128</v>
      </c>
      <c r="AC10" s="94"/>
      <c r="AD10" s="94"/>
      <c r="AE10" s="94"/>
      <c r="AF10" s="94"/>
    </row>
    <row r="11" spans="1:38" ht="16" thickBot="1" x14ac:dyDescent="0.25">
      <c r="A11" t="s">
        <v>129</v>
      </c>
      <c r="B11" s="85">
        <v>1400</v>
      </c>
      <c r="C11" s="85">
        <v>1600</v>
      </c>
      <c r="D11" s="85">
        <v>2050</v>
      </c>
      <c r="F11" t="s">
        <v>130</v>
      </c>
      <c r="G11" s="94">
        <f>B14</f>
        <v>4130</v>
      </c>
      <c r="H11" s="94">
        <f t="shared" ref="H11:I11" si="6">C14</f>
        <v>4390</v>
      </c>
      <c r="I11" s="94">
        <f t="shared" si="6"/>
        <v>4850</v>
      </c>
      <c r="K11" s="101" t="s">
        <v>156</v>
      </c>
      <c r="L11" s="86"/>
      <c r="M11" s="86"/>
      <c r="N11" s="88"/>
      <c r="W11" s="101" t="s">
        <v>156</v>
      </c>
      <c r="X11" s="86"/>
      <c r="Y11" s="86"/>
      <c r="Z11" s="88"/>
      <c r="AB11" t="s">
        <v>130</v>
      </c>
      <c r="AC11" s="94"/>
      <c r="AD11" s="94"/>
      <c r="AE11" s="94"/>
      <c r="AF11" s="94"/>
    </row>
    <row r="12" spans="1:38" ht="16" thickBot="1" x14ac:dyDescent="0.25">
      <c r="A12" t="s">
        <v>131</v>
      </c>
      <c r="B12" s="85">
        <v>200</v>
      </c>
      <c r="C12" s="85">
        <v>260</v>
      </c>
      <c r="D12" s="85">
        <v>350</v>
      </c>
      <c r="F12" s="18" t="s">
        <v>132</v>
      </c>
      <c r="G12" s="94">
        <f>G9+G8</f>
        <v>5730</v>
      </c>
      <c r="H12" s="94">
        <f t="shared" ref="H12:I12" si="7">H9+H8</f>
        <v>6090</v>
      </c>
      <c r="I12" s="94">
        <f t="shared" si="7"/>
        <v>7850</v>
      </c>
      <c r="K12" s="102"/>
      <c r="L12" s="88"/>
      <c r="M12" s="88"/>
      <c r="N12" s="88"/>
      <c r="AB12" s="18" t="s">
        <v>132</v>
      </c>
      <c r="AC12" s="94"/>
      <c r="AD12" s="94"/>
      <c r="AE12" s="94"/>
      <c r="AF12" s="96"/>
    </row>
    <row r="13" spans="1:38" ht="16" thickBot="1" x14ac:dyDescent="0.25">
      <c r="A13" t="s">
        <v>135</v>
      </c>
      <c r="B13" s="85">
        <v>1300</v>
      </c>
      <c r="C13" s="85">
        <v>1200</v>
      </c>
      <c r="D13" s="85">
        <v>1100</v>
      </c>
      <c r="K13" s="18" t="s">
        <v>158</v>
      </c>
      <c r="L13" s="86"/>
      <c r="M13" s="86"/>
      <c r="N13" s="88"/>
    </row>
    <row r="14" spans="1:38" ht="16" thickBot="1" x14ac:dyDescent="0.25">
      <c r="A14" t="s">
        <v>138</v>
      </c>
      <c r="B14" s="85">
        <v>4130</v>
      </c>
      <c r="C14" s="85">
        <v>4390</v>
      </c>
      <c r="D14" s="85">
        <v>4850</v>
      </c>
      <c r="F14" s="18" t="s">
        <v>212</v>
      </c>
      <c r="K14" s="102"/>
      <c r="L14" s="88"/>
      <c r="M14" s="88"/>
      <c r="N14" s="88"/>
    </row>
    <row r="15" spans="1:38" ht="16" thickBot="1" x14ac:dyDescent="0.25">
      <c r="A15" s="18" t="s">
        <v>141</v>
      </c>
      <c r="B15" s="63">
        <f>SUM(B10:B14)</f>
        <v>7330</v>
      </c>
      <c r="C15" s="63">
        <f t="shared" ref="C15:D15" si="8">SUM(C10:C14)</f>
        <v>7950</v>
      </c>
      <c r="D15" s="63">
        <f t="shared" si="8"/>
        <v>10250</v>
      </c>
      <c r="F15" s="108" t="s">
        <v>179</v>
      </c>
      <c r="G15" s="110">
        <f>G9-G5</f>
        <v>4230</v>
      </c>
      <c r="H15" s="110">
        <f t="shared" ref="H15:I15" si="9">H9-H5</f>
        <v>4290</v>
      </c>
      <c r="I15" s="110">
        <f t="shared" si="9"/>
        <v>4500</v>
      </c>
      <c r="J15" s="183" t="s">
        <v>253</v>
      </c>
      <c r="K15" t="s">
        <v>159</v>
      </c>
      <c r="L15" s="90"/>
      <c r="M15" s="90"/>
      <c r="N15" s="88"/>
    </row>
    <row r="16" spans="1:38" ht="16" thickBot="1" x14ac:dyDescent="0.25">
      <c r="A16"/>
      <c r="B16" s="85"/>
      <c r="C16" s="85"/>
      <c r="D16" s="85"/>
      <c r="F16" s="108" t="s">
        <v>180</v>
      </c>
      <c r="G16" s="110">
        <f>G4</f>
        <v>3930</v>
      </c>
      <c r="H16" s="110">
        <f t="shared" ref="H16:I16" si="10">H4</f>
        <v>4440</v>
      </c>
      <c r="I16" s="110">
        <f t="shared" si="10"/>
        <v>6100</v>
      </c>
      <c r="K16" t="s">
        <v>160</v>
      </c>
      <c r="L16" s="90"/>
      <c r="M16" s="90"/>
      <c r="N16" s="88"/>
    </row>
    <row r="17" spans="1:14" ht="16" thickBot="1" x14ac:dyDescent="0.25">
      <c r="A17" s="18" t="s">
        <v>41</v>
      </c>
      <c r="B17" s="63">
        <v>22100</v>
      </c>
      <c r="C17" s="63">
        <v>24300</v>
      </c>
      <c r="D17" s="63">
        <v>31600</v>
      </c>
      <c r="F17" s="18"/>
      <c r="G17" s="183" t="s">
        <v>254</v>
      </c>
      <c r="H17" s="183" t="s">
        <v>255</v>
      </c>
      <c r="I17" s="183" t="s">
        <v>256</v>
      </c>
      <c r="K17" t="s">
        <v>161</v>
      </c>
      <c r="L17" s="90"/>
      <c r="M17" s="90"/>
      <c r="N17" s="88"/>
    </row>
    <row r="18" spans="1:14" ht="16" thickBot="1" x14ac:dyDescent="0.25">
      <c r="A18" t="s">
        <v>143</v>
      </c>
      <c r="B18" s="85">
        <v>17700</v>
      </c>
      <c r="C18" s="85">
        <v>19400</v>
      </c>
      <c r="D18" s="85">
        <v>25250</v>
      </c>
      <c r="F18" s="18" t="s">
        <v>181</v>
      </c>
      <c r="G18" s="111">
        <f>G15/G16</f>
        <v>1.0763358778625953</v>
      </c>
      <c r="H18" s="111">
        <f t="shared" ref="H18:I18" si="11">H15/H16</f>
        <v>0.96621621621621623</v>
      </c>
      <c r="I18" s="111">
        <f t="shared" si="11"/>
        <v>0.73770491803278693</v>
      </c>
      <c r="K18" t="s">
        <v>162</v>
      </c>
      <c r="L18" s="90"/>
      <c r="M18" s="90"/>
      <c r="N18" s="88"/>
    </row>
    <row r="19" spans="1:14" ht="16" thickBot="1" x14ac:dyDescent="0.25">
      <c r="A19" s="18" t="s">
        <v>43</v>
      </c>
      <c r="B19" s="63">
        <f>+B17-B18</f>
        <v>4400</v>
      </c>
      <c r="C19" s="63">
        <f>+C17-C18</f>
        <v>4900</v>
      </c>
      <c r="D19" s="63">
        <f>+D17-D18</f>
        <v>6350</v>
      </c>
      <c r="F19" s="18" t="s">
        <v>183</v>
      </c>
      <c r="K19" t="s">
        <v>163</v>
      </c>
      <c r="L19" s="90"/>
      <c r="M19" s="90"/>
      <c r="N19" s="88"/>
    </row>
    <row r="20" spans="1:14" ht="17" thickBot="1" x14ac:dyDescent="0.25">
      <c r="A20" s="64" t="s">
        <v>145</v>
      </c>
      <c r="B20" s="85">
        <v>3750</v>
      </c>
      <c r="C20" s="85">
        <v>4000</v>
      </c>
      <c r="D20" s="85">
        <v>5000</v>
      </c>
      <c r="F20" s="18" t="s">
        <v>184</v>
      </c>
      <c r="K20" s="105" t="s">
        <v>174</v>
      </c>
      <c r="L20" s="86"/>
      <c r="M20" s="86"/>
      <c r="N20" s="88"/>
    </row>
    <row r="21" spans="1:14" ht="16" thickBot="1" x14ac:dyDescent="0.25">
      <c r="A21" s="18" t="s">
        <v>149</v>
      </c>
      <c r="B21" s="63">
        <f>+B19-B20</f>
        <v>650</v>
      </c>
      <c r="C21" s="63">
        <f t="shared" ref="C21:D21" si="12">+C19-C20</f>
        <v>900</v>
      </c>
      <c r="D21" s="63">
        <f t="shared" si="12"/>
        <v>1350</v>
      </c>
      <c r="K21" s="102"/>
      <c r="L21" s="88"/>
      <c r="M21" s="88"/>
      <c r="N21" s="88"/>
    </row>
    <row r="22" spans="1:14" ht="17" thickBot="1" x14ac:dyDescent="0.25">
      <c r="A22" t="s">
        <v>151</v>
      </c>
      <c r="B22" s="85">
        <v>110</v>
      </c>
      <c r="C22" s="85">
        <v>130</v>
      </c>
      <c r="D22" s="85">
        <v>260</v>
      </c>
      <c r="F22" s="184" t="s">
        <v>243</v>
      </c>
      <c r="K22" s="103" t="s">
        <v>164</v>
      </c>
      <c r="L22" s="86"/>
      <c r="M22" s="86"/>
      <c r="N22" s="88"/>
    </row>
    <row r="23" spans="1:14" ht="17" thickBot="1" x14ac:dyDescent="0.25">
      <c r="A23" s="18" t="s">
        <v>153</v>
      </c>
      <c r="B23" s="63">
        <f>+B21-B22</f>
        <v>540</v>
      </c>
      <c r="C23" s="63">
        <f t="shared" ref="C23:D23" si="13">+C21-C22</f>
        <v>770</v>
      </c>
      <c r="D23" s="63">
        <f t="shared" si="13"/>
        <v>1090</v>
      </c>
      <c r="F23" s="183" t="s">
        <v>247</v>
      </c>
      <c r="G23" s="110"/>
      <c r="H23" s="110"/>
      <c r="I23" s="110"/>
      <c r="K23" s="104" t="s">
        <v>165</v>
      </c>
      <c r="L23" s="90"/>
      <c r="M23" s="90"/>
      <c r="N23" s="88"/>
    </row>
    <row r="24" spans="1:14" x14ac:dyDescent="0.2">
      <c r="A24" t="s">
        <v>155</v>
      </c>
      <c r="B24" s="85">
        <v>220</v>
      </c>
      <c r="C24" s="85">
        <v>310</v>
      </c>
      <c r="D24" s="85">
        <v>430</v>
      </c>
      <c r="F24" s="183" t="s">
        <v>244</v>
      </c>
      <c r="G24" s="111">
        <f>B31/B14</f>
        <v>0.24213075060532688</v>
      </c>
      <c r="H24" s="111">
        <f t="shared" ref="H24:I24" si="14">C31/C14</f>
        <v>0.30751708428246016</v>
      </c>
      <c r="I24" s="111">
        <f t="shared" si="14"/>
        <v>0.55670103092783507</v>
      </c>
    </row>
    <row r="25" spans="1:14" x14ac:dyDescent="0.2">
      <c r="A25" s="18" t="s">
        <v>157</v>
      </c>
      <c r="B25" s="63">
        <f>+B23-B24</f>
        <v>320</v>
      </c>
      <c r="C25" s="63">
        <f>+C23-C24</f>
        <v>460</v>
      </c>
      <c r="D25" s="63">
        <f>+D23-D24</f>
        <v>660</v>
      </c>
      <c r="G25" s="157"/>
      <c r="H25" s="157"/>
      <c r="I25" s="157"/>
      <c r="J25" s="181"/>
    </row>
    <row r="26" spans="1:14" x14ac:dyDescent="0.2">
      <c r="A26"/>
      <c r="B26" s="85"/>
      <c r="C26" s="85"/>
      <c r="D26" s="85"/>
      <c r="F26" s="184" t="s">
        <v>245</v>
      </c>
    </row>
    <row r="27" spans="1:14" x14ac:dyDescent="0.2">
      <c r="A27" s="18" t="s">
        <v>162</v>
      </c>
      <c r="B27" s="85">
        <v>180</v>
      </c>
      <c r="C27" s="85">
        <v>200</v>
      </c>
      <c r="D27" s="85">
        <v>200</v>
      </c>
      <c r="F27" s="183" t="s">
        <v>246</v>
      </c>
      <c r="G27" s="66">
        <f>B31/B30</f>
        <v>1.3333333333333333</v>
      </c>
      <c r="H27" s="66">
        <f t="shared" ref="H27:I27" si="15">C31/C30</f>
        <v>1.35</v>
      </c>
      <c r="I27" s="66">
        <f t="shared" si="15"/>
        <v>1.8</v>
      </c>
    </row>
    <row r="28" spans="1:14" x14ac:dyDescent="0.2">
      <c r="A28" s="18" t="s">
        <v>147</v>
      </c>
      <c r="B28" s="85">
        <v>100</v>
      </c>
      <c r="C28" s="85">
        <v>100</v>
      </c>
      <c r="D28" s="85">
        <v>150</v>
      </c>
    </row>
    <row r="29" spans="1:14" x14ac:dyDescent="0.2">
      <c r="F29" s="18" t="s">
        <v>210</v>
      </c>
    </row>
    <row r="30" spans="1:14" x14ac:dyDescent="0.2">
      <c r="A30" s="184" t="s">
        <v>242</v>
      </c>
      <c r="B30" s="182">
        <f>B21+B28</f>
        <v>750</v>
      </c>
      <c r="C30" s="182">
        <f t="shared" ref="C30:D30" si="16">C21+C28</f>
        <v>1000</v>
      </c>
      <c r="D30" s="182">
        <f t="shared" si="16"/>
        <v>1500</v>
      </c>
      <c r="F30" s="156" t="s">
        <v>178</v>
      </c>
    </row>
    <row r="31" spans="1:14" x14ac:dyDescent="0.2">
      <c r="A31" s="184" t="s">
        <v>248</v>
      </c>
      <c r="B31" s="182">
        <f>B13+B10-B3</f>
        <v>1000</v>
      </c>
      <c r="C31" s="182">
        <f t="shared" ref="C31:D31" si="17">C13+C10-C3</f>
        <v>1350</v>
      </c>
      <c r="D31" s="182">
        <f t="shared" si="17"/>
        <v>2700</v>
      </c>
      <c r="F31" s="156" t="s">
        <v>200</v>
      </c>
      <c r="G31" s="66">
        <v>22100</v>
      </c>
    </row>
    <row r="32" spans="1:14" x14ac:dyDescent="0.2">
      <c r="F32" s="18" t="s">
        <v>211</v>
      </c>
      <c r="G32" s="185">
        <f>G4/G31</f>
        <v>0.17782805429864254</v>
      </c>
      <c r="H32" s="186"/>
      <c r="I32" s="186"/>
    </row>
  </sheetData>
  <mergeCells count="7">
    <mergeCell ref="P1:U1"/>
    <mergeCell ref="X9:X10"/>
    <mergeCell ref="Y9:Y10"/>
    <mergeCell ref="Z9:Z10"/>
    <mergeCell ref="L9:L10"/>
    <mergeCell ref="M9:M10"/>
    <mergeCell ref="N9:N10"/>
  </mergeCells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D032-0A13-49F4-A970-B92FA9458CA8}">
  <dimension ref="A1:M17"/>
  <sheetViews>
    <sheetView workbookViewId="0">
      <selection activeCell="N11" sqref="N11"/>
    </sheetView>
  </sheetViews>
  <sheetFormatPr baseColWidth="10" defaultColWidth="8.83203125" defaultRowHeight="15" x14ac:dyDescent="0.2"/>
  <cols>
    <col min="1" max="1" width="33.6640625" bestFit="1" customWidth="1"/>
    <col min="5" max="5" width="32.6640625" bestFit="1" customWidth="1"/>
    <col min="10" max="10" width="32.1640625" bestFit="1" customWidth="1"/>
    <col min="11" max="11" width="10" bestFit="1" customWidth="1"/>
    <col min="12" max="13" width="9.6640625" bestFit="1" customWidth="1"/>
  </cols>
  <sheetData>
    <row r="1" spans="1:13" ht="24" customHeight="1" thickBot="1" x14ac:dyDescent="0.25">
      <c r="A1" s="158" t="s">
        <v>213</v>
      </c>
      <c r="B1" s="159">
        <v>2010</v>
      </c>
      <c r="C1" s="159">
        <v>2011</v>
      </c>
      <c r="D1" s="159">
        <v>2012</v>
      </c>
      <c r="E1" s="158" t="s">
        <v>214</v>
      </c>
      <c r="F1" s="159">
        <v>2010</v>
      </c>
      <c r="G1" s="159">
        <v>2011</v>
      </c>
      <c r="H1" s="159">
        <v>2012</v>
      </c>
      <c r="J1" s="174"/>
      <c r="K1" s="175">
        <v>2010</v>
      </c>
      <c r="L1" s="175">
        <v>2011</v>
      </c>
      <c r="M1" s="176">
        <v>2012</v>
      </c>
    </row>
    <row r="2" spans="1:13" ht="24" customHeight="1" thickBot="1" x14ac:dyDescent="0.25">
      <c r="A2" s="160" t="s">
        <v>215</v>
      </c>
      <c r="B2" s="161">
        <v>6</v>
      </c>
      <c r="C2" s="161">
        <v>12</v>
      </c>
      <c r="D2" s="161">
        <v>8</v>
      </c>
      <c r="E2" s="158" t="s">
        <v>216</v>
      </c>
      <c r="F2" s="159">
        <v>15</v>
      </c>
      <c r="G2" s="159">
        <v>22</v>
      </c>
      <c r="H2" s="159">
        <v>23</v>
      </c>
      <c r="J2" s="177" t="s">
        <v>233</v>
      </c>
      <c r="K2" s="172"/>
      <c r="L2" s="172"/>
      <c r="M2" s="173"/>
    </row>
    <row r="3" spans="1:13" ht="24" customHeight="1" thickBot="1" x14ac:dyDescent="0.25">
      <c r="A3" s="160" t="s">
        <v>217</v>
      </c>
      <c r="B3" s="161">
        <v>44</v>
      </c>
      <c r="C3" s="161">
        <v>48</v>
      </c>
      <c r="D3" s="161">
        <v>56</v>
      </c>
      <c r="E3" s="160" t="s">
        <v>218</v>
      </c>
      <c r="F3" s="160">
        <v>7</v>
      </c>
      <c r="G3" s="160">
        <v>14</v>
      </c>
      <c r="H3" s="160">
        <v>15</v>
      </c>
      <c r="J3" s="165" t="s">
        <v>111</v>
      </c>
      <c r="K3" s="166"/>
      <c r="L3" s="166"/>
      <c r="M3" s="167"/>
    </row>
    <row r="4" spans="1:13" ht="24" customHeight="1" thickBot="1" x14ac:dyDescent="0.25">
      <c r="A4" s="160" t="s">
        <v>116</v>
      </c>
      <c r="B4" s="161">
        <v>52</v>
      </c>
      <c r="C4" s="161">
        <v>57</v>
      </c>
      <c r="D4" s="161">
        <v>72</v>
      </c>
      <c r="E4" s="160" t="s">
        <v>219</v>
      </c>
      <c r="F4" s="160">
        <v>8</v>
      </c>
      <c r="G4" s="160">
        <v>8</v>
      </c>
      <c r="H4" s="160">
        <v>8</v>
      </c>
      <c r="J4" s="165" t="s">
        <v>241</v>
      </c>
      <c r="K4" s="166">
        <v>59</v>
      </c>
      <c r="L4" s="166">
        <v>63</v>
      </c>
      <c r="M4" s="167">
        <v>77</v>
      </c>
    </row>
    <row r="5" spans="1:13" ht="24" customHeight="1" thickBot="1" x14ac:dyDescent="0.25">
      <c r="A5" s="160" t="s">
        <v>220</v>
      </c>
      <c r="B5" s="161">
        <v>2</v>
      </c>
      <c r="C5" s="161">
        <v>2</v>
      </c>
      <c r="D5" s="161">
        <v>1</v>
      </c>
      <c r="E5" s="160" t="s">
        <v>129</v>
      </c>
      <c r="F5" s="161">
        <v>37</v>
      </c>
      <c r="G5" s="161">
        <v>40</v>
      </c>
      <c r="H5" s="161">
        <v>48</v>
      </c>
      <c r="J5" s="165" t="s">
        <v>230</v>
      </c>
      <c r="K5" s="166"/>
      <c r="L5" s="166"/>
      <c r="M5" s="167"/>
    </row>
    <row r="6" spans="1:13" ht="24" customHeight="1" thickBot="1" x14ac:dyDescent="0.25">
      <c r="A6" s="162" t="s">
        <v>221</v>
      </c>
      <c r="B6" s="163">
        <v>104</v>
      </c>
      <c r="C6" s="163">
        <v>119</v>
      </c>
      <c r="D6" s="163">
        <v>137</v>
      </c>
      <c r="E6" s="160" t="s">
        <v>222</v>
      </c>
      <c r="F6" s="161">
        <v>2</v>
      </c>
      <c r="G6" s="161">
        <v>4</v>
      </c>
      <c r="H6" s="161">
        <v>4</v>
      </c>
      <c r="J6" s="168"/>
      <c r="K6" s="166"/>
      <c r="L6" s="166"/>
      <c r="M6" s="167"/>
    </row>
    <row r="7" spans="1:13" ht="24" customHeight="1" thickBot="1" x14ac:dyDescent="0.25">
      <c r="A7" s="160" t="s">
        <v>223</v>
      </c>
      <c r="B7" s="161">
        <v>0</v>
      </c>
      <c r="C7" s="161">
        <v>0</v>
      </c>
      <c r="D7" s="161">
        <v>0</v>
      </c>
      <c r="E7" s="162" t="s">
        <v>224</v>
      </c>
      <c r="F7" s="163">
        <v>54</v>
      </c>
      <c r="G7" s="163">
        <v>66</v>
      </c>
      <c r="H7" s="163">
        <v>75</v>
      </c>
      <c r="J7" s="165"/>
      <c r="K7" s="166"/>
      <c r="L7" s="166"/>
      <c r="M7" s="167"/>
    </row>
    <row r="8" spans="1:13" ht="24" customHeight="1" thickBot="1" x14ac:dyDescent="0.25">
      <c r="A8" s="158" t="s">
        <v>225</v>
      </c>
      <c r="B8" s="159">
        <v>56</v>
      </c>
      <c r="C8" s="159">
        <v>51</v>
      </c>
      <c r="D8" s="159">
        <v>53</v>
      </c>
      <c r="E8" s="160" t="s">
        <v>226</v>
      </c>
      <c r="F8" s="161">
        <v>42</v>
      </c>
      <c r="G8" s="161">
        <v>34</v>
      </c>
      <c r="H8" s="161">
        <v>38</v>
      </c>
      <c r="J8" s="177" t="s">
        <v>234</v>
      </c>
      <c r="K8" s="172"/>
      <c r="L8" s="172"/>
      <c r="M8" s="173"/>
    </row>
    <row r="9" spans="1:13" ht="24" customHeight="1" thickBot="1" x14ac:dyDescent="0.25">
      <c r="A9" s="160" t="s">
        <v>227</v>
      </c>
      <c r="B9" s="161">
        <v>90</v>
      </c>
      <c r="C9" s="161">
        <v>90</v>
      </c>
      <c r="D9" s="161">
        <v>93</v>
      </c>
      <c r="E9" s="162" t="s">
        <v>228</v>
      </c>
      <c r="F9" s="163">
        <v>42</v>
      </c>
      <c r="G9" s="163">
        <v>34</v>
      </c>
      <c r="H9" s="163">
        <v>38</v>
      </c>
      <c r="J9" s="165" t="s">
        <v>235</v>
      </c>
      <c r="K9" s="166"/>
      <c r="L9" s="166"/>
      <c r="M9" s="167"/>
    </row>
    <row r="10" spans="1:13" ht="24" customHeight="1" thickBot="1" x14ac:dyDescent="0.25">
      <c r="A10" s="160" t="s">
        <v>229</v>
      </c>
      <c r="B10" s="161">
        <v>-34</v>
      </c>
      <c r="C10" s="161">
        <v>-39</v>
      </c>
      <c r="D10" s="161">
        <v>-40</v>
      </c>
      <c r="E10" s="162" t="s">
        <v>138</v>
      </c>
      <c r="F10" s="163">
        <v>64</v>
      </c>
      <c r="G10" s="163">
        <v>70</v>
      </c>
      <c r="H10" s="163">
        <v>77</v>
      </c>
      <c r="J10" s="165" t="s">
        <v>236</v>
      </c>
      <c r="K10" s="166"/>
      <c r="L10" s="166"/>
      <c r="M10" s="167"/>
    </row>
    <row r="11" spans="1:13" ht="24" customHeight="1" thickBot="1" x14ac:dyDescent="0.25">
      <c r="A11" s="162" t="s">
        <v>230</v>
      </c>
      <c r="B11" s="163">
        <v>56</v>
      </c>
      <c r="C11" s="163">
        <v>51</v>
      </c>
      <c r="D11" s="163">
        <v>53</v>
      </c>
      <c r="E11" s="164"/>
      <c r="F11" s="164"/>
      <c r="G11" s="164"/>
      <c r="H11" s="164"/>
      <c r="J11" s="165" t="s">
        <v>237</v>
      </c>
      <c r="K11" s="166"/>
      <c r="L11" s="166"/>
      <c r="M11" s="167"/>
    </row>
    <row r="12" spans="1:13" ht="21" customHeight="1" thickBot="1" x14ac:dyDescent="0.25">
      <c r="A12" s="158" t="s">
        <v>231</v>
      </c>
      <c r="B12" s="159">
        <v>160</v>
      </c>
      <c r="C12" s="159">
        <v>170</v>
      </c>
      <c r="D12" s="159">
        <v>190</v>
      </c>
      <c r="E12" s="158" t="s">
        <v>232</v>
      </c>
      <c r="F12" s="159">
        <v>160</v>
      </c>
      <c r="G12" s="159">
        <v>170</v>
      </c>
      <c r="H12" s="159">
        <v>190</v>
      </c>
      <c r="J12" s="169" t="s">
        <v>35</v>
      </c>
      <c r="K12" s="170"/>
      <c r="L12" s="170"/>
      <c r="M12" s="171"/>
    </row>
    <row r="13" spans="1:13" ht="21" customHeight="1" x14ac:dyDescent="0.2"/>
    <row r="14" spans="1:13" ht="21" customHeight="1" x14ac:dyDescent="0.2">
      <c r="J14" s="174"/>
      <c r="K14" s="175">
        <v>2010</v>
      </c>
      <c r="L14" s="175">
        <v>2011</v>
      </c>
      <c r="M14" s="176">
        <v>2012</v>
      </c>
    </row>
    <row r="15" spans="1:13" ht="21" customHeight="1" x14ac:dyDescent="0.2">
      <c r="J15" s="165" t="s">
        <v>240</v>
      </c>
      <c r="K15" s="166"/>
      <c r="L15" s="166"/>
      <c r="M15" s="167"/>
    </row>
    <row r="16" spans="1:13" ht="21" customHeight="1" x14ac:dyDescent="0.2">
      <c r="J16" s="165" t="s">
        <v>238</v>
      </c>
      <c r="K16" s="166"/>
      <c r="L16" s="166"/>
      <c r="M16" s="167"/>
    </row>
    <row r="17" spans="10:13" ht="21" customHeight="1" x14ac:dyDescent="0.2">
      <c r="J17" s="178" t="s">
        <v>239</v>
      </c>
      <c r="K17" s="179"/>
      <c r="L17" s="179"/>
      <c r="M17" s="18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B3:O18"/>
  <sheetViews>
    <sheetView tabSelected="1" zoomScale="150" zoomScaleNormal="150" workbookViewId="0">
      <selection activeCell="L13" sqref="L13"/>
    </sheetView>
  </sheetViews>
  <sheetFormatPr baseColWidth="10" defaultColWidth="8.83203125" defaultRowHeight="15" x14ac:dyDescent="0.2"/>
  <cols>
    <col min="1" max="1" width="8.83203125" style="146"/>
    <col min="2" max="2" width="8.83203125" style="148"/>
    <col min="3" max="3" width="15.5" style="149" customWidth="1"/>
    <col min="4" max="4" width="15" style="146" customWidth="1"/>
    <col min="5" max="5" width="8.83203125" style="146"/>
    <col min="6" max="7" width="13.1640625" style="146" customWidth="1"/>
    <col min="8" max="8" width="8.83203125" style="146"/>
    <col min="9" max="9" width="10.1640625" style="146" bestFit="1" customWidth="1"/>
    <col min="10" max="15" width="8.83203125" style="147"/>
    <col min="16" max="16384" width="8.83203125" style="146"/>
  </cols>
  <sheetData>
    <row r="3" spans="2:9" x14ac:dyDescent="0.2">
      <c r="B3" s="144" t="s">
        <v>72</v>
      </c>
      <c r="C3" s="152">
        <f>FV(C6,C5,C8,C7)</f>
        <v>144526.13465131226</v>
      </c>
      <c r="E3" s="144" t="s">
        <v>71</v>
      </c>
      <c r="F3" s="152">
        <f>PV(F6,F5,F8,F7)</f>
        <v>0</v>
      </c>
      <c r="H3" s="144" t="s">
        <v>66</v>
      </c>
      <c r="I3" s="152" t="e">
        <f>NPER(I6,I8,I5,I7)</f>
        <v>#DIV/0!</v>
      </c>
    </row>
    <row r="4" spans="2:9" x14ac:dyDescent="0.2">
      <c r="E4" s="148"/>
      <c r="F4" s="149"/>
      <c r="H4" s="148"/>
      <c r="I4" s="149"/>
    </row>
    <row r="5" spans="2:9" x14ac:dyDescent="0.2">
      <c r="B5" s="148" t="s">
        <v>66</v>
      </c>
      <c r="C5" s="149">
        <v>12</v>
      </c>
      <c r="E5" s="148" t="s">
        <v>66</v>
      </c>
      <c r="F5" s="149"/>
      <c r="H5" s="148" t="s">
        <v>68</v>
      </c>
      <c r="I5" s="149"/>
    </row>
    <row r="6" spans="2:9" x14ac:dyDescent="0.2">
      <c r="B6" s="148" t="s">
        <v>67</v>
      </c>
      <c r="C6" s="150">
        <f>44%*0.85/12</f>
        <v>3.1166666666666665E-2</v>
      </c>
      <c r="E6" s="148" t="s">
        <v>67</v>
      </c>
      <c r="F6" s="150"/>
      <c r="H6" s="148" t="s">
        <v>67</v>
      </c>
      <c r="I6" s="150"/>
    </row>
    <row r="7" spans="2:9" x14ac:dyDescent="0.2">
      <c r="B7" s="148" t="s">
        <v>70</v>
      </c>
      <c r="C7" s="145">
        <v>-100000</v>
      </c>
      <c r="E7" s="148" t="s">
        <v>65</v>
      </c>
      <c r="F7" s="145"/>
      <c r="H7" s="148" t="s">
        <v>65</v>
      </c>
      <c r="I7" s="145"/>
    </row>
    <row r="8" spans="2:9" x14ac:dyDescent="0.2">
      <c r="B8" s="148" t="s">
        <v>63</v>
      </c>
      <c r="E8" s="148" t="s">
        <v>63</v>
      </c>
      <c r="F8" s="149"/>
      <c r="H8" s="148" t="s">
        <v>63</v>
      </c>
      <c r="I8" s="149"/>
    </row>
    <row r="12" spans="2:9" x14ac:dyDescent="0.2">
      <c r="B12" s="144" t="s">
        <v>63</v>
      </c>
      <c r="C12" s="152" t="e">
        <f>PMT(C15,C17,C14,C16)</f>
        <v>#NUM!</v>
      </c>
      <c r="E12" s="144" t="s">
        <v>69</v>
      </c>
      <c r="F12" s="154" t="e">
        <f>RATE(F15,F17,F14,F16)</f>
        <v>#NUM!</v>
      </c>
      <c r="H12" s="144" t="s">
        <v>73</v>
      </c>
      <c r="I12" s="153">
        <f>EFFECT(I13,I14)</f>
        <v>0.44526134651312255</v>
      </c>
    </row>
    <row r="13" spans="2:9" x14ac:dyDescent="0.2">
      <c r="H13" s="148" t="s">
        <v>74</v>
      </c>
      <c r="I13" s="151">
        <f>44%*0.85</f>
        <v>0.374</v>
      </c>
    </row>
    <row r="14" spans="2:9" x14ac:dyDescent="0.2">
      <c r="B14" s="148" t="s">
        <v>68</v>
      </c>
      <c r="E14" s="148" t="s">
        <v>68</v>
      </c>
      <c r="H14" s="148" t="s">
        <v>66</v>
      </c>
      <c r="I14" s="146">
        <v>12</v>
      </c>
    </row>
    <row r="15" spans="2:9" x14ac:dyDescent="0.2">
      <c r="B15" s="148" t="s">
        <v>67</v>
      </c>
      <c r="C15" s="150">
        <v>0</v>
      </c>
      <c r="E15" s="148" t="s">
        <v>66</v>
      </c>
    </row>
    <row r="16" spans="2:9" x14ac:dyDescent="0.2">
      <c r="B16" s="148" t="s">
        <v>65</v>
      </c>
      <c r="C16" s="145"/>
      <c r="E16" s="148" t="s">
        <v>65</v>
      </c>
      <c r="H16" s="144" t="s">
        <v>74</v>
      </c>
      <c r="I16" t="e">
        <f>NOMINAL(I17,I18)</f>
        <v>#NUM!</v>
      </c>
    </row>
    <row r="17" spans="2:9" x14ac:dyDescent="0.2">
      <c r="B17" s="148" t="s">
        <v>64</v>
      </c>
      <c r="E17" s="148" t="s">
        <v>63</v>
      </c>
      <c r="H17" s="148" t="s">
        <v>73</v>
      </c>
      <c r="I17" s="150"/>
    </row>
    <row r="18" spans="2:9" x14ac:dyDescent="0.2">
      <c r="H18" s="148" t="s">
        <v>66</v>
      </c>
    </row>
  </sheetData>
  <sheetProtection sheet="1" objects="1" scenarios="1"/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2:F15"/>
  <sheetViews>
    <sheetView zoomScale="140" zoomScaleNormal="140" workbookViewId="0">
      <selection activeCell="C25" sqref="C25"/>
    </sheetView>
  </sheetViews>
  <sheetFormatPr baseColWidth="10" defaultColWidth="8.83203125" defaultRowHeight="16" x14ac:dyDescent="0.2"/>
  <cols>
    <col min="1" max="1" width="8.83203125" style="1"/>
    <col min="2" max="2" width="23.83203125" customWidth="1"/>
    <col min="3" max="3" width="16.1640625" customWidth="1"/>
  </cols>
  <sheetData>
    <row r="2" spans="2:6" customFormat="1" thickBot="1" x14ac:dyDescent="0.25"/>
    <row r="3" spans="2:6" customFormat="1" ht="18" thickBot="1" x14ac:dyDescent="0.25">
      <c r="B3" s="2" t="s">
        <v>52</v>
      </c>
      <c r="C3" s="3" t="s">
        <v>62</v>
      </c>
    </row>
    <row r="4" spans="2:6" customFormat="1" ht="18" thickTop="1" thickBot="1" x14ac:dyDescent="0.25">
      <c r="B4" s="12">
        <v>0</v>
      </c>
      <c r="C4" s="11">
        <v>-18000</v>
      </c>
    </row>
    <row r="5" spans="2:6" customFormat="1" ht="17" thickBot="1" x14ac:dyDescent="0.25">
      <c r="B5" s="4">
        <v>1</v>
      </c>
      <c r="C5" s="5">
        <v>5200</v>
      </c>
    </row>
    <row r="6" spans="2:6" customFormat="1" ht="17" thickBot="1" x14ac:dyDescent="0.25">
      <c r="B6" s="6">
        <v>2</v>
      </c>
      <c r="C6" s="7">
        <v>5200</v>
      </c>
    </row>
    <row r="7" spans="2:6" customFormat="1" ht="17" thickBot="1" x14ac:dyDescent="0.25">
      <c r="B7" s="4">
        <v>3</v>
      </c>
      <c r="C7" s="5">
        <v>5200</v>
      </c>
    </row>
    <row r="8" spans="2:6" customFormat="1" ht="17" thickBot="1" x14ac:dyDescent="0.25">
      <c r="B8" s="6">
        <v>4</v>
      </c>
      <c r="C8" s="7">
        <v>5200</v>
      </c>
    </row>
    <row r="9" spans="2:6" customFormat="1" ht="17" thickBot="1" x14ac:dyDescent="0.25">
      <c r="B9" s="4">
        <v>5</v>
      </c>
      <c r="C9" s="5">
        <v>7200</v>
      </c>
    </row>
    <row r="10" spans="2:6" customFormat="1" ht="18" thickBot="1" x14ac:dyDescent="0.25">
      <c r="B10" s="8" t="s">
        <v>59</v>
      </c>
      <c r="C10" s="13">
        <f>SUM(C5:C9)</f>
        <v>28000</v>
      </c>
    </row>
    <row r="11" spans="2:6" customFormat="1" ht="18" thickBot="1" x14ac:dyDescent="0.25">
      <c r="B11" s="9" t="s">
        <v>60</v>
      </c>
      <c r="C11" s="10">
        <v>0.1</v>
      </c>
    </row>
    <row r="12" spans="2:6" customFormat="1" ht="17" thickBot="1" x14ac:dyDescent="0.25">
      <c r="B12" s="9"/>
      <c r="C12" s="10"/>
    </row>
    <row r="13" spans="2:6" customFormat="1" ht="18" thickBot="1" x14ac:dyDescent="0.25">
      <c r="B13" s="8" t="s">
        <v>61</v>
      </c>
      <c r="C13" s="15">
        <v>3.5</v>
      </c>
      <c r="D13" t="s">
        <v>260</v>
      </c>
    </row>
    <row r="14" spans="2:6" customFormat="1" ht="18" thickBot="1" x14ac:dyDescent="0.25">
      <c r="B14" s="9" t="s">
        <v>0</v>
      </c>
      <c r="C14" s="155">
        <f>C4+NPV(C11,C5:C9)</f>
        <v>2953.9338470422372</v>
      </c>
      <c r="D14" t="s">
        <v>253</v>
      </c>
      <c r="E14" t="s">
        <v>257</v>
      </c>
    </row>
    <row r="15" spans="2:6" customFormat="1" ht="18" thickBot="1" x14ac:dyDescent="0.25">
      <c r="B15" s="8" t="s">
        <v>1</v>
      </c>
      <c r="C15" s="14">
        <f>IRR(C4:C9)</f>
        <v>0.15951106158836459</v>
      </c>
      <c r="D15" t="s">
        <v>258</v>
      </c>
      <c r="F15" t="s">
        <v>259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2:I28"/>
  <sheetViews>
    <sheetView zoomScale="140" zoomScaleNormal="140" workbookViewId="0">
      <selection activeCell="C29" sqref="C29"/>
    </sheetView>
  </sheetViews>
  <sheetFormatPr baseColWidth="10" defaultColWidth="11.5" defaultRowHeight="16" x14ac:dyDescent="0.2"/>
  <cols>
    <col min="1" max="1" width="11.5" style="1"/>
    <col min="2" max="2" width="21.83203125" style="1" customWidth="1"/>
    <col min="3" max="8" width="14" style="1" customWidth="1"/>
    <col min="10" max="16384" width="11.5" style="1"/>
  </cols>
  <sheetData>
    <row r="2" spans="2:9" ht="17" thickBot="1" x14ac:dyDescent="0.25">
      <c r="B2" s="1" t="s">
        <v>2</v>
      </c>
      <c r="I2" s="1"/>
    </row>
    <row r="3" spans="2:9" ht="18" thickBot="1" x14ac:dyDescent="0.25">
      <c r="B3" s="2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1"/>
    </row>
    <row r="4" spans="2:9" ht="18" thickTop="1" thickBot="1" x14ac:dyDescent="0.25">
      <c r="B4" s="12">
        <v>0</v>
      </c>
      <c r="C4" s="16">
        <v>-1000</v>
      </c>
      <c r="D4" s="16">
        <v>-1000</v>
      </c>
      <c r="E4" s="16">
        <v>-1000</v>
      </c>
      <c r="F4" s="16">
        <v>-1000</v>
      </c>
      <c r="G4" s="16">
        <v>-1000</v>
      </c>
      <c r="H4" s="16">
        <v>-1000</v>
      </c>
      <c r="I4" s="1"/>
    </row>
    <row r="5" spans="2:9" ht="17" thickBot="1" x14ac:dyDescent="0.25">
      <c r="B5" s="4">
        <v>1</v>
      </c>
      <c r="C5" s="5">
        <v>800</v>
      </c>
      <c r="D5" s="5">
        <v>100</v>
      </c>
      <c r="E5" s="5">
        <v>300</v>
      </c>
      <c r="F5" s="5">
        <v>300</v>
      </c>
      <c r="G5" s="5">
        <v>325</v>
      </c>
      <c r="H5" s="5">
        <v>325</v>
      </c>
      <c r="I5" s="1"/>
    </row>
    <row r="6" spans="2:9" ht="17" thickBot="1" x14ac:dyDescent="0.25">
      <c r="B6" s="6">
        <v>2</v>
      </c>
      <c r="C6" s="7">
        <v>600</v>
      </c>
      <c r="D6" s="7">
        <v>200</v>
      </c>
      <c r="E6" s="7">
        <v>300</v>
      </c>
      <c r="F6" s="7">
        <v>300</v>
      </c>
      <c r="G6" s="7">
        <v>325</v>
      </c>
      <c r="H6" s="7">
        <v>325</v>
      </c>
      <c r="I6" s="1"/>
    </row>
    <row r="7" spans="2:9" ht="17" thickBot="1" x14ac:dyDescent="0.25">
      <c r="B7" s="4">
        <v>3</v>
      </c>
      <c r="C7" s="5">
        <v>400</v>
      </c>
      <c r="D7" s="5">
        <v>400</v>
      </c>
      <c r="E7" s="5">
        <v>300</v>
      </c>
      <c r="F7" s="5">
        <v>300</v>
      </c>
      <c r="G7" s="5">
        <v>325</v>
      </c>
      <c r="H7" s="5">
        <v>325</v>
      </c>
      <c r="I7" s="1"/>
    </row>
    <row r="8" spans="2:9" ht="17" thickBot="1" x14ac:dyDescent="0.25">
      <c r="B8" s="6">
        <v>4</v>
      </c>
      <c r="C8" s="7">
        <v>200</v>
      </c>
      <c r="D8" s="7">
        <v>600</v>
      </c>
      <c r="E8" s="7">
        <v>300</v>
      </c>
      <c r="F8" s="7">
        <v>300</v>
      </c>
      <c r="G8" s="7">
        <v>325</v>
      </c>
      <c r="H8" s="7">
        <v>325</v>
      </c>
      <c r="I8" s="1"/>
    </row>
    <row r="9" spans="2:9" ht="17" thickBot="1" x14ac:dyDescent="0.25">
      <c r="B9" s="4">
        <v>5</v>
      </c>
      <c r="C9" s="5">
        <v>100</v>
      </c>
      <c r="D9" s="5">
        <v>800</v>
      </c>
      <c r="E9" s="5">
        <v>300</v>
      </c>
      <c r="F9" s="5">
        <v>300</v>
      </c>
      <c r="G9" s="5">
        <v>325</v>
      </c>
      <c r="H9" s="5">
        <v>975</v>
      </c>
      <c r="I9" s="1"/>
    </row>
    <row r="10" spans="2:9" ht="18" thickBot="1" x14ac:dyDescent="0.25">
      <c r="B10" s="8" t="s">
        <v>59</v>
      </c>
      <c r="C10" s="17">
        <f t="shared" ref="C10:H10" si="0">SUM(C5:C9)</f>
        <v>2100</v>
      </c>
      <c r="D10" s="17">
        <f t="shared" si="0"/>
        <v>2100</v>
      </c>
      <c r="E10" s="17">
        <f t="shared" si="0"/>
        <v>1500</v>
      </c>
      <c r="F10" s="17">
        <f t="shared" si="0"/>
        <v>1500</v>
      </c>
      <c r="G10" s="17">
        <f t="shared" si="0"/>
        <v>1625</v>
      </c>
      <c r="H10" s="17">
        <f t="shared" si="0"/>
        <v>2275</v>
      </c>
      <c r="I10" s="1"/>
    </row>
    <row r="11" spans="2:9" ht="18" thickBot="1" x14ac:dyDescent="0.25">
      <c r="B11" s="9" t="s">
        <v>60</v>
      </c>
      <c r="C11" s="10">
        <v>0.1</v>
      </c>
      <c r="D11" s="10">
        <v>0.1</v>
      </c>
      <c r="E11" s="10">
        <v>0.08</v>
      </c>
      <c r="F11" s="10">
        <v>0.12</v>
      </c>
      <c r="G11" s="10">
        <v>0.1</v>
      </c>
      <c r="H11" s="10">
        <v>0.1</v>
      </c>
      <c r="I11" s="1"/>
    </row>
    <row r="12" spans="2:9" ht="17" thickBot="1" x14ac:dyDescent="0.25">
      <c r="B12" s="9"/>
      <c r="C12" s="10"/>
      <c r="D12" s="10"/>
      <c r="E12" s="10"/>
      <c r="F12" s="10"/>
      <c r="G12" s="10"/>
      <c r="H12" s="10"/>
      <c r="I12" s="1"/>
    </row>
    <row r="13" spans="2:9" ht="18" thickBot="1" x14ac:dyDescent="0.25">
      <c r="B13" s="8" t="s">
        <v>61</v>
      </c>
      <c r="C13" s="15">
        <v>1.33</v>
      </c>
      <c r="D13" s="15">
        <v>3.5</v>
      </c>
      <c r="E13" s="15">
        <v>3.3</v>
      </c>
      <c r="F13" s="15">
        <v>3.3</v>
      </c>
      <c r="G13" s="15">
        <v>3.08</v>
      </c>
      <c r="H13" s="15">
        <v>3.08</v>
      </c>
      <c r="I13" s="1"/>
    </row>
    <row r="14" spans="2:9" ht="18" thickBot="1" x14ac:dyDescent="0.25">
      <c r="B14" s="9" t="s">
        <v>0</v>
      </c>
      <c r="C14" s="155">
        <f>C4+NPV(C11,C5:C9)</f>
        <v>722.36123960732925</v>
      </c>
      <c r="D14" s="155">
        <f t="shared" ref="D14:H14" si="1">D4+NPV(D11,D5:D9)</f>
        <v>463.26939913443516</v>
      </c>
      <c r="E14" s="155">
        <f t="shared" si="1"/>
        <v>197.81301112342544</v>
      </c>
      <c r="F14" s="155">
        <f t="shared" si="1"/>
        <v>81.432860703501092</v>
      </c>
      <c r="G14" s="155">
        <f t="shared" si="1"/>
        <v>232.00570005774557</v>
      </c>
      <c r="H14" s="155">
        <f t="shared" si="1"/>
        <v>635.60456004619596</v>
      </c>
      <c r="I14" s="1"/>
    </row>
    <row r="15" spans="2:9" ht="18" thickBot="1" x14ac:dyDescent="0.25">
      <c r="B15" s="8" t="s">
        <v>1</v>
      </c>
      <c r="C15" s="14">
        <f>IRR(C4:C9)</f>
        <v>0.47446498656435376</v>
      </c>
      <c r="D15" s="14">
        <f t="shared" ref="D15:G15" si="2">IRR(D4:D9)</f>
        <v>0.22118410112225462</v>
      </c>
      <c r="E15" s="14">
        <f t="shared" si="2"/>
        <v>0.15238237116630637</v>
      </c>
      <c r="F15" s="14">
        <f t="shared" si="2"/>
        <v>0.15238237116630637</v>
      </c>
      <c r="G15" s="14">
        <f t="shared" si="2"/>
        <v>0.18718888121760502</v>
      </c>
      <c r="H15" s="14">
        <f>IRR(H4:H9)</f>
        <v>0.28517068364337383</v>
      </c>
      <c r="I15" s="1"/>
    </row>
    <row r="16" spans="2:9" ht="17" thickBot="1" x14ac:dyDescent="0.25">
      <c r="B16" s="9"/>
      <c r="C16" s="10"/>
      <c r="D16" s="10"/>
      <c r="E16" s="10"/>
      <c r="F16" s="10"/>
      <c r="G16" s="10"/>
      <c r="H16" s="10"/>
      <c r="I16" s="1"/>
    </row>
    <row r="24" spans="2:2" x14ac:dyDescent="0.2">
      <c r="B24" s="1">
        <v>-4000</v>
      </c>
    </row>
    <row r="26" spans="2:2" x14ac:dyDescent="0.2">
      <c r="B26" s="1">
        <v>2000</v>
      </c>
    </row>
    <row r="27" spans="2:2" x14ac:dyDescent="0.2">
      <c r="B27" s="1">
        <v>4000</v>
      </c>
    </row>
    <row r="28" spans="2:2" x14ac:dyDescent="0.2">
      <c r="B28" s="192">
        <f>IRR(B24:B27)</f>
        <v>0.28077640640441492</v>
      </c>
    </row>
  </sheetData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zoomScale="130" zoomScaleNormal="130" workbookViewId="0">
      <selection activeCell="B28" sqref="B28"/>
    </sheetView>
  </sheetViews>
  <sheetFormatPr baseColWidth="10" defaultColWidth="8.83203125" defaultRowHeight="15" x14ac:dyDescent="0.2"/>
  <cols>
    <col min="1" max="1" width="33.6640625" style="24" customWidth="1"/>
    <col min="2" max="6" width="12.33203125" style="23" customWidth="1"/>
    <col min="7" max="7" width="13.5" style="23" bestFit="1" customWidth="1"/>
    <col min="8" max="16384" width="8.83203125" style="23"/>
  </cols>
  <sheetData>
    <row r="1" spans="1:9" ht="18" thickBot="1" x14ac:dyDescent="0.25">
      <c r="A1" s="62"/>
      <c r="B1" s="61" t="s">
        <v>110</v>
      </c>
      <c r="C1" s="61" t="s">
        <v>109</v>
      </c>
      <c r="D1" s="61" t="s">
        <v>108</v>
      </c>
      <c r="E1" s="61" t="s">
        <v>107</v>
      </c>
      <c r="F1" s="61" t="s">
        <v>106</v>
      </c>
      <c r="G1" s="61" t="s">
        <v>105</v>
      </c>
    </row>
    <row r="2" spans="1:9" s="52" customFormat="1" ht="18" customHeight="1" thickTop="1" thickBot="1" x14ac:dyDescent="0.25">
      <c r="A2" s="51" t="s">
        <v>104</v>
      </c>
      <c r="B2" s="60"/>
      <c r="C2" s="59">
        <v>45000</v>
      </c>
      <c r="D2" s="59">
        <v>40000</v>
      </c>
      <c r="E2" s="59">
        <v>30000</v>
      </c>
      <c r="F2" s="59">
        <v>20000</v>
      </c>
      <c r="G2" s="59">
        <v>10000</v>
      </c>
    </row>
    <row r="3" spans="1:9" s="52" customFormat="1" ht="18" customHeight="1" thickBot="1" x14ac:dyDescent="0.25">
      <c r="A3" s="40" t="s">
        <v>103</v>
      </c>
      <c r="B3" s="54"/>
      <c r="C3" s="39">
        <v>40</v>
      </c>
      <c r="D3" s="57">
        <f>40*1.03</f>
        <v>41.2</v>
      </c>
      <c r="E3" s="57">
        <v>42.44</v>
      </c>
      <c r="F3" s="57">
        <v>42.71</v>
      </c>
      <c r="G3" s="57">
        <v>45.02</v>
      </c>
    </row>
    <row r="4" spans="1:9" s="52" customFormat="1" ht="18" customHeight="1" thickBot="1" x14ac:dyDescent="0.25">
      <c r="A4" s="47" t="s">
        <v>102</v>
      </c>
      <c r="B4" s="56"/>
      <c r="C4" s="58">
        <f>C2*C3</f>
        <v>1800000</v>
      </c>
      <c r="D4" s="58">
        <f t="shared" ref="D4:G4" si="0">D2*D3</f>
        <v>1648000</v>
      </c>
      <c r="E4" s="58">
        <f t="shared" si="0"/>
        <v>1273200</v>
      </c>
      <c r="F4" s="58">
        <f t="shared" si="0"/>
        <v>854200</v>
      </c>
      <c r="G4" s="58">
        <f t="shared" si="0"/>
        <v>450200.00000000006</v>
      </c>
    </row>
    <row r="5" spans="1:9" s="52" customFormat="1" ht="18" customHeight="1" thickBot="1" x14ac:dyDescent="0.25">
      <c r="A5" s="40" t="s">
        <v>101</v>
      </c>
      <c r="B5" s="54"/>
      <c r="C5" s="39">
        <v>16</v>
      </c>
      <c r="D5" s="57">
        <f>16*1.03</f>
        <v>16.48</v>
      </c>
      <c r="E5" s="57">
        <v>16.97</v>
      </c>
      <c r="F5" s="57">
        <v>17.48</v>
      </c>
      <c r="G5" s="57">
        <v>18.010000000000002</v>
      </c>
    </row>
    <row r="6" spans="1:9" s="52" customFormat="1" ht="18" customHeight="1" thickBot="1" x14ac:dyDescent="0.25">
      <c r="A6" s="42" t="s">
        <v>100</v>
      </c>
      <c r="B6" s="56"/>
      <c r="C6" s="44">
        <f>C2*C5</f>
        <v>720000</v>
      </c>
      <c r="D6" s="44">
        <f t="shared" ref="D6:G6" si="1">D2*D5</f>
        <v>659200</v>
      </c>
      <c r="E6" s="44">
        <f t="shared" si="1"/>
        <v>509099.99999999994</v>
      </c>
      <c r="F6" s="44">
        <f t="shared" si="1"/>
        <v>349600</v>
      </c>
      <c r="G6" s="44">
        <f t="shared" si="1"/>
        <v>180100.00000000003</v>
      </c>
    </row>
    <row r="7" spans="1:9" s="52" customFormat="1" ht="18" customHeight="1" thickBot="1" x14ac:dyDescent="0.25">
      <c r="A7" s="40" t="s">
        <v>99</v>
      </c>
      <c r="B7" s="54"/>
      <c r="C7" s="53">
        <v>10000</v>
      </c>
      <c r="D7" s="53">
        <v>10000</v>
      </c>
      <c r="E7" s="53">
        <v>10000</v>
      </c>
      <c r="F7" s="53">
        <v>10000</v>
      </c>
      <c r="G7" s="53">
        <v>10000</v>
      </c>
    </row>
    <row r="8" spans="1:9" s="52" customFormat="1" ht="18" customHeight="1" thickBot="1" x14ac:dyDescent="0.25">
      <c r="A8" s="42" t="s">
        <v>98</v>
      </c>
      <c r="B8" s="56"/>
      <c r="C8" s="44">
        <v>400000</v>
      </c>
      <c r="D8" s="44">
        <v>400000</v>
      </c>
      <c r="E8" s="44">
        <v>400000</v>
      </c>
      <c r="F8" s="44">
        <v>400000</v>
      </c>
      <c r="G8" s="44">
        <v>400000</v>
      </c>
    </row>
    <row r="9" spans="1:9" s="52" customFormat="1" ht="18" customHeight="1" thickBot="1" x14ac:dyDescent="0.25">
      <c r="A9" s="55" t="s">
        <v>97</v>
      </c>
      <c r="B9" s="54"/>
      <c r="C9" s="53">
        <f>SUM(C6:C8)</f>
        <v>1130000</v>
      </c>
      <c r="D9" s="53">
        <f t="shared" ref="D9:G9" si="2">SUM(D6:D8)</f>
        <v>1069200</v>
      </c>
      <c r="E9" s="53">
        <f t="shared" si="2"/>
        <v>919100</v>
      </c>
      <c r="F9" s="53">
        <f t="shared" si="2"/>
        <v>759600</v>
      </c>
      <c r="G9" s="53">
        <f t="shared" si="2"/>
        <v>590100</v>
      </c>
    </row>
    <row r="10" spans="1:9" ht="19" thickTop="1" thickBot="1" x14ac:dyDescent="0.25">
      <c r="A10" s="51" t="s">
        <v>96</v>
      </c>
      <c r="B10" s="50"/>
      <c r="C10" s="49">
        <f>C4-C9</f>
        <v>670000</v>
      </c>
      <c r="D10" s="49">
        <f t="shared" ref="D10:G10" si="3">D4-D9</f>
        <v>578800</v>
      </c>
      <c r="E10" s="49">
        <f t="shared" si="3"/>
        <v>354100</v>
      </c>
      <c r="F10" s="49">
        <f t="shared" si="3"/>
        <v>94600</v>
      </c>
      <c r="G10" s="49">
        <f t="shared" si="3"/>
        <v>-139899.99999999994</v>
      </c>
      <c r="H10" s="193">
        <f>G10+G8</f>
        <v>260100.00000000006</v>
      </c>
      <c r="I10" s="183" t="s">
        <v>261</v>
      </c>
    </row>
    <row r="11" spans="1:9" ht="18" thickBot="1" x14ac:dyDescent="0.25">
      <c r="A11" s="40" t="s">
        <v>95</v>
      </c>
      <c r="B11" s="45"/>
      <c r="C11" s="48">
        <f>C10*0.4</f>
        <v>268000</v>
      </c>
      <c r="D11" s="48">
        <f t="shared" ref="D11:G11" si="4">D10*0.4</f>
        <v>231520</v>
      </c>
      <c r="E11" s="48">
        <f t="shared" si="4"/>
        <v>141640</v>
      </c>
      <c r="F11" s="48">
        <f t="shared" si="4"/>
        <v>37840</v>
      </c>
      <c r="G11" s="48">
        <f t="shared" si="4"/>
        <v>-55959.999999999978</v>
      </c>
      <c r="H11" s="183" t="s">
        <v>262</v>
      </c>
    </row>
    <row r="12" spans="1:9" ht="18" thickBot="1" x14ac:dyDescent="0.25">
      <c r="A12" s="47" t="s">
        <v>94</v>
      </c>
      <c r="B12" s="46"/>
      <c r="C12" s="33">
        <f>C10-C11</f>
        <v>402000</v>
      </c>
      <c r="D12" s="33">
        <f t="shared" ref="D12:G12" si="5">D10-D11</f>
        <v>347280</v>
      </c>
      <c r="E12" s="33">
        <f t="shared" si="5"/>
        <v>212460</v>
      </c>
      <c r="F12" s="33">
        <f t="shared" si="5"/>
        <v>56760</v>
      </c>
      <c r="G12" s="33">
        <f t="shared" si="5"/>
        <v>-83939.999999999971</v>
      </c>
    </row>
    <row r="13" spans="1:9" ht="18" thickBot="1" x14ac:dyDescent="0.25">
      <c r="A13" s="40" t="s">
        <v>93</v>
      </c>
      <c r="B13" s="45"/>
      <c r="C13" s="194">
        <f>C8</f>
        <v>400000</v>
      </c>
      <c r="D13" s="194">
        <f t="shared" ref="D13:G13" si="6">D8</f>
        <v>400000</v>
      </c>
      <c r="E13" s="194">
        <f t="shared" si="6"/>
        <v>400000</v>
      </c>
      <c r="F13" s="194">
        <f t="shared" si="6"/>
        <v>400000</v>
      </c>
      <c r="G13" s="194">
        <f t="shared" si="6"/>
        <v>400000</v>
      </c>
    </row>
    <row r="14" spans="1:9" ht="18" thickBot="1" x14ac:dyDescent="0.25">
      <c r="A14" s="42" t="s">
        <v>92</v>
      </c>
      <c r="B14" s="41">
        <f>C4*0.2</f>
        <v>360000</v>
      </c>
      <c r="C14" s="41">
        <f t="shared" ref="C14:G14" si="7">D4*0.2</f>
        <v>329600</v>
      </c>
      <c r="D14" s="41">
        <f t="shared" si="7"/>
        <v>254640</v>
      </c>
      <c r="E14" s="41">
        <f t="shared" si="7"/>
        <v>170840</v>
      </c>
      <c r="F14" s="41">
        <f t="shared" si="7"/>
        <v>90040.000000000015</v>
      </c>
      <c r="G14" s="41">
        <f t="shared" si="7"/>
        <v>0</v>
      </c>
    </row>
    <row r="15" spans="1:9" ht="18" thickBot="1" x14ac:dyDescent="0.25">
      <c r="A15" s="40" t="s">
        <v>91</v>
      </c>
      <c r="B15" s="43">
        <v>360000</v>
      </c>
      <c r="C15" s="43">
        <f>C14-B14</f>
        <v>-30400</v>
      </c>
      <c r="D15" s="43">
        <f t="shared" ref="D15:F15" si="8">D14-C14</f>
        <v>-74960</v>
      </c>
      <c r="E15" s="43">
        <f t="shared" si="8"/>
        <v>-83800</v>
      </c>
      <c r="F15" s="43">
        <f t="shared" si="8"/>
        <v>-80799.999999999985</v>
      </c>
      <c r="G15" s="43">
        <f>G14-F14</f>
        <v>-90040.000000000015</v>
      </c>
    </row>
    <row r="16" spans="1:9" ht="18" thickBot="1" x14ac:dyDescent="0.25">
      <c r="A16" s="42" t="s">
        <v>90</v>
      </c>
      <c r="B16" s="41">
        <v>2000000</v>
      </c>
      <c r="C16" s="195"/>
      <c r="D16" s="195"/>
      <c r="E16" s="195"/>
      <c r="F16" s="195"/>
      <c r="G16" s="195"/>
    </row>
    <row r="17" spans="1:7" ht="18" thickBot="1" x14ac:dyDescent="0.25">
      <c r="A17" s="40" t="s">
        <v>89</v>
      </c>
      <c r="B17" s="39"/>
      <c r="C17" s="39"/>
      <c r="D17" s="39"/>
      <c r="E17" s="39"/>
      <c r="F17" s="39"/>
      <c r="G17" s="38">
        <v>60000</v>
      </c>
    </row>
    <row r="18" spans="1:7" ht="18" thickBot="1" x14ac:dyDescent="0.25">
      <c r="A18" s="37" t="s">
        <v>88</v>
      </c>
      <c r="B18" s="36">
        <f>B12+B13-B15-B16+B17</f>
        <v>-2360000</v>
      </c>
      <c r="C18" s="36">
        <f>C12+C13-C15-C16+C17</f>
        <v>832400</v>
      </c>
      <c r="D18" s="36">
        <f t="shared" ref="C18:G18" si="9">D12+D13-D15-D16+D17</f>
        <v>822240</v>
      </c>
      <c r="E18" s="36">
        <f t="shared" si="9"/>
        <v>696260</v>
      </c>
      <c r="F18" s="36">
        <f t="shared" si="9"/>
        <v>537560</v>
      </c>
      <c r="G18" s="36">
        <f t="shared" si="9"/>
        <v>466100</v>
      </c>
    </row>
    <row r="19" spans="1:7" ht="18" thickBot="1" x14ac:dyDescent="0.25">
      <c r="A19" s="35" t="s">
        <v>87</v>
      </c>
      <c r="B19" s="31">
        <v>7.5999999999999998E-2</v>
      </c>
      <c r="C19" s="30"/>
      <c r="D19" s="30"/>
      <c r="E19" s="30"/>
      <c r="F19" s="30"/>
      <c r="G19" s="30"/>
    </row>
    <row r="20" spans="1:7" ht="18" thickBot="1" x14ac:dyDescent="0.25">
      <c r="A20" s="34" t="s">
        <v>86</v>
      </c>
      <c r="B20" s="33">
        <f>B18+NPV(B19,C18:G18)</f>
        <v>406886.84074709378</v>
      </c>
      <c r="C20" s="33"/>
      <c r="D20" s="33"/>
      <c r="E20" s="33"/>
      <c r="F20" s="33"/>
      <c r="G20" s="33"/>
    </row>
    <row r="21" spans="1:7" ht="18" thickBot="1" x14ac:dyDescent="0.25">
      <c r="A21" s="32" t="s">
        <v>85</v>
      </c>
      <c r="B21" s="31">
        <f>IRR(B18:G18)</f>
        <v>0.14649836893305235</v>
      </c>
      <c r="C21" s="30"/>
      <c r="D21" s="30"/>
      <c r="E21" s="30"/>
      <c r="F21" s="30"/>
      <c r="G21" s="30"/>
    </row>
    <row r="23" spans="1:7" x14ac:dyDescent="0.2">
      <c r="A23" s="24" t="s">
        <v>84</v>
      </c>
      <c r="C23" s="29"/>
      <c r="D23" s="29"/>
      <c r="E23" s="29"/>
      <c r="F23" s="29"/>
      <c r="G23" s="29"/>
    </row>
    <row r="24" spans="1:7" x14ac:dyDescent="0.2">
      <c r="A24" s="24" t="s">
        <v>83</v>
      </c>
      <c r="C24" s="29"/>
      <c r="D24" s="29"/>
      <c r="E24" s="29"/>
      <c r="F24" s="29"/>
      <c r="G24" s="29"/>
    </row>
    <row r="25" spans="1:7" x14ac:dyDescent="0.2">
      <c r="A25" s="24" t="s">
        <v>82</v>
      </c>
      <c r="B25" s="25"/>
      <c r="C25" s="28"/>
      <c r="D25" s="28"/>
      <c r="E25" s="28"/>
      <c r="F25" s="28"/>
      <c r="G25" s="28"/>
    </row>
    <row r="26" spans="1:7" x14ac:dyDescent="0.2">
      <c r="A26" s="24" t="s">
        <v>81</v>
      </c>
      <c r="B26" s="26"/>
      <c r="C26" s="27"/>
      <c r="D26" s="27"/>
      <c r="E26" s="27"/>
      <c r="F26" s="27"/>
      <c r="G26" s="27"/>
    </row>
    <row r="27" spans="1:7" x14ac:dyDescent="0.2">
      <c r="A27" s="24" t="s">
        <v>80</v>
      </c>
      <c r="B27" s="26"/>
      <c r="C27" s="26"/>
      <c r="D27" s="26"/>
      <c r="E27" s="26"/>
      <c r="F27" s="26"/>
      <c r="G27" s="26"/>
    </row>
    <row r="28" spans="1:7" x14ac:dyDescent="0.2">
      <c r="A28" s="24" t="s">
        <v>79</v>
      </c>
      <c r="B28" s="26"/>
      <c r="C28" s="27"/>
      <c r="D28" s="27"/>
      <c r="E28" s="27"/>
      <c r="F28" s="27"/>
      <c r="G28" s="27"/>
    </row>
    <row r="29" spans="1:7" x14ac:dyDescent="0.2">
      <c r="A29" s="24" t="s">
        <v>78</v>
      </c>
      <c r="B29" s="26"/>
      <c r="C29" s="26"/>
      <c r="D29" s="26"/>
      <c r="E29" s="26"/>
      <c r="F29" s="26"/>
      <c r="G29" s="26"/>
    </row>
    <row r="30" spans="1:7" x14ac:dyDescent="0.2">
      <c r="A30" s="24" t="s">
        <v>77</v>
      </c>
      <c r="B30" s="26"/>
      <c r="C30" s="26"/>
      <c r="D30" s="26"/>
      <c r="E30" s="26"/>
      <c r="F30" s="26"/>
      <c r="G30" s="26"/>
    </row>
    <row r="31" spans="1:7" x14ac:dyDescent="0.2">
      <c r="A31" s="24" t="s">
        <v>76</v>
      </c>
      <c r="B31" s="25"/>
    </row>
  </sheetData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"/>
  <sheetViews>
    <sheetView zoomScale="107" workbookViewId="0"/>
  </sheetViews>
  <sheetFormatPr baseColWidth="10" defaultColWidth="8.83203125" defaultRowHeight="15" x14ac:dyDescent="0.2"/>
  <cols>
    <col min="1" max="1" width="36.6640625" customWidth="1"/>
    <col min="2" max="7" width="17.5" customWidth="1"/>
  </cols>
  <sheetData>
    <row r="1" spans="1:7" ht="24" customHeight="1" thickBot="1" x14ac:dyDescent="0.25">
      <c r="A1" s="112"/>
      <c r="B1" s="113" t="s">
        <v>185</v>
      </c>
      <c r="C1" s="113" t="s">
        <v>186</v>
      </c>
      <c r="D1" s="113" t="s">
        <v>187</v>
      </c>
      <c r="E1" s="113" t="s">
        <v>188</v>
      </c>
      <c r="F1" s="113" t="s">
        <v>189</v>
      </c>
      <c r="G1" s="113" t="s">
        <v>190</v>
      </c>
    </row>
    <row r="2" spans="1:7" ht="24" customHeight="1" thickTop="1" thickBot="1" x14ac:dyDescent="0.25">
      <c r="A2" s="114" t="s">
        <v>198</v>
      </c>
      <c r="B2" s="115"/>
      <c r="C2" s="116">
        <v>5000</v>
      </c>
      <c r="D2" s="116">
        <v>10000</v>
      </c>
      <c r="E2" s="116">
        <v>20000</v>
      </c>
      <c r="F2" s="116">
        <v>20000</v>
      </c>
      <c r="G2" s="116">
        <v>20000</v>
      </c>
    </row>
    <row r="3" spans="1:7" ht="24" customHeight="1" thickBot="1" x14ac:dyDescent="0.25">
      <c r="A3" s="117" t="s">
        <v>199</v>
      </c>
      <c r="B3" s="118"/>
      <c r="C3" s="119">
        <v>800</v>
      </c>
      <c r="D3" s="119">
        <v>800</v>
      </c>
      <c r="E3" s="119">
        <v>800</v>
      </c>
      <c r="F3" s="119">
        <v>800</v>
      </c>
      <c r="G3" s="119">
        <v>800</v>
      </c>
    </row>
    <row r="4" spans="1:7" ht="24" customHeight="1" thickBot="1" x14ac:dyDescent="0.25">
      <c r="A4" s="120" t="s">
        <v>200</v>
      </c>
      <c r="B4" s="121"/>
      <c r="C4" s="122">
        <f>+C3*C2</f>
        <v>4000000</v>
      </c>
      <c r="D4" s="122">
        <f t="shared" ref="D4:G4" si="0">+D3*D2</f>
        <v>8000000</v>
      </c>
      <c r="E4" s="122">
        <f t="shared" si="0"/>
        <v>16000000</v>
      </c>
      <c r="F4" s="122">
        <f t="shared" si="0"/>
        <v>16000000</v>
      </c>
      <c r="G4" s="122">
        <f t="shared" si="0"/>
        <v>16000000</v>
      </c>
    </row>
    <row r="5" spans="1:7" ht="24" customHeight="1" thickBot="1" x14ac:dyDescent="0.25">
      <c r="A5" s="117" t="s">
        <v>201</v>
      </c>
      <c r="B5" s="118"/>
      <c r="C5" s="119">
        <f>-C4*0.0375</f>
        <v>-150000</v>
      </c>
      <c r="D5" s="119">
        <f t="shared" ref="D5:G5" si="1">-D4*0.0375</f>
        <v>-300000</v>
      </c>
      <c r="E5" s="119">
        <f t="shared" si="1"/>
        <v>-600000</v>
      </c>
      <c r="F5" s="119">
        <f t="shared" si="1"/>
        <v>-600000</v>
      </c>
      <c r="G5" s="119">
        <f t="shared" si="1"/>
        <v>-600000</v>
      </c>
    </row>
    <row r="6" spans="1:7" ht="24" customHeight="1" thickBot="1" x14ac:dyDescent="0.25">
      <c r="A6" s="120" t="s">
        <v>202</v>
      </c>
      <c r="B6" s="121"/>
      <c r="C6" s="122">
        <f>-500*C2</f>
        <v>-2500000</v>
      </c>
      <c r="D6" s="122">
        <f t="shared" ref="D6:G6" si="2">-500*D2</f>
        <v>-5000000</v>
      </c>
      <c r="E6" s="122">
        <f t="shared" si="2"/>
        <v>-10000000</v>
      </c>
      <c r="F6" s="122">
        <f t="shared" si="2"/>
        <v>-10000000</v>
      </c>
      <c r="G6" s="122">
        <f t="shared" si="2"/>
        <v>-10000000</v>
      </c>
    </row>
    <row r="7" spans="1:7" ht="24" customHeight="1" thickBot="1" x14ac:dyDescent="0.25">
      <c r="A7" s="117" t="s">
        <v>203</v>
      </c>
      <c r="B7" s="118"/>
      <c r="C7" s="123">
        <v>-600000</v>
      </c>
      <c r="D7" s="123">
        <v>-600000</v>
      </c>
      <c r="E7" s="123">
        <v>-600000</v>
      </c>
      <c r="F7" s="123">
        <v>-600000</v>
      </c>
      <c r="G7" s="123">
        <v>-600000</v>
      </c>
    </row>
    <row r="8" spans="1:7" ht="24" customHeight="1" thickBot="1" x14ac:dyDescent="0.25">
      <c r="A8" s="120" t="s">
        <v>149</v>
      </c>
      <c r="B8" s="121"/>
      <c r="C8" s="122">
        <f>+C4+C5+C6+C7</f>
        <v>750000</v>
      </c>
      <c r="D8" s="122">
        <f t="shared" ref="D8:G8" si="3">+D4+D5+D6+D7</f>
        <v>2100000</v>
      </c>
      <c r="E8" s="122">
        <f t="shared" si="3"/>
        <v>4800000</v>
      </c>
      <c r="F8" s="122">
        <f t="shared" si="3"/>
        <v>4800000</v>
      </c>
      <c r="G8" s="122">
        <f t="shared" si="3"/>
        <v>4800000</v>
      </c>
    </row>
    <row r="9" spans="1:7" ht="24" customHeight="1" thickBot="1" x14ac:dyDescent="0.25">
      <c r="A9" s="124" t="s">
        <v>204</v>
      </c>
      <c r="B9" s="125"/>
      <c r="C9" s="126">
        <f>0.6*C8</f>
        <v>450000</v>
      </c>
      <c r="D9" s="126">
        <f t="shared" ref="D9:G9" si="4">0.6*D8</f>
        <v>1260000</v>
      </c>
      <c r="E9" s="126">
        <f t="shared" si="4"/>
        <v>2880000</v>
      </c>
      <c r="F9" s="126">
        <f t="shared" si="4"/>
        <v>2880000</v>
      </c>
      <c r="G9" s="126">
        <f t="shared" si="4"/>
        <v>2880000</v>
      </c>
    </row>
    <row r="10" spans="1:7" ht="24" customHeight="1" thickTop="1" thickBot="1" x14ac:dyDescent="0.25">
      <c r="A10" s="114" t="s">
        <v>93</v>
      </c>
      <c r="B10" s="115"/>
      <c r="C10" s="116">
        <v>600000</v>
      </c>
      <c r="D10" s="116">
        <v>600000</v>
      </c>
      <c r="E10" s="116">
        <v>600000</v>
      </c>
      <c r="F10" s="116">
        <v>600000</v>
      </c>
      <c r="G10" s="116">
        <v>600000</v>
      </c>
    </row>
    <row r="11" spans="1:7" ht="29.5" customHeight="1" thickBot="1" x14ac:dyDescent="0.25">
      <c r="A11" s="117" t="s">
        <v>205</v>
      </c>
      <c r="B11" s="118">
        <v>-6000000</v>
      </c>
      <c r="C11" s="123"/>
      <c r="D11" s="123"/>
      <c r="E11" s="123"/>
      <c r="F11" s="123"/>
      <c r="G11" s="123"/>
    </row>
    <row r="12" spans="1:7" ht="24" customHeight="1" thickBot="1" x14ac:dyDescent="0.25">
      <c r="A12" s="120" t="s">
        <v>116</v>
      </c>
      <c r="B12" s="121">
        <v>-1500000</v>
      </c>
      <c r="C12" s="127"/>
      <c r="D12" s="127"/>
      <c r="E12" s="127"/>
      <c r="F12" s="127"/>
      <c r="G12" s="127"/>
    </row>
    <row r="13" spans="1:7" ht="24" customHeight="1" thickBot="1" x14ac:dyDescent="0.25">
      <c r="A13" s="117" t="s">
        <v>206</v>
      </c>
      <c r="B13" s="118">
        <v>-1000000</v>
      </c>
      <c r="C13" s="126"/>
      <c r="D13" s="126"/>
      <c r="E13" s="126"/>
      <c r="F13" s="126"/>
      <c r="G13" s="126"/>
    </row>
    <row r="14" spans="1:7" ht="24" customHeight="1" thickBot="1" x14ac:dyDescent="0.25">
      <c r="A14" s="128" t="s">
        <v>207</v>
      </c>
      <c r="B14" s="121">
        <f>+B13+B12+B11</f>
        <v>-8500000</v>
      </c>
      <c r="C14" s="129">
        <f>+C9+C10</f>
        <v>1050000</v>
      </c>
      <c r="D14" s="129">
        <f t="shared" ref="D14:G14" si="5">+D9+D10</f>
        <v>1860000</v>
      </c>
      <c r="E14" s="129">
        <f t="shared" si="5"/>
        <v>3480000</v>
      </c>
      <c r="F14" s="129">
        <f t="shared" si="5"/>
        <v>3480000</v>
      </c>
      <c r="G14" s="129">
        <f t="shared" si="5"/>
        <v>3480000</v>
      </c>
    </row>
    <row r="15" spans="1:7" ht="24" customHeight="1" thickBot="1" x14ac:dyDescent="0.25">
      <c r="A15" s="117" t="s">
        <v>208</v>
      </c>
      <c r="B15" s="130">
        <v>0.08</v>
      </c>
      <c r="C15" s="119"/>
      <c r="D15" s="119"/>
      <c r="E15" s="119"/>
      <c r="F15" s="119"/>
      <c r="G15" s="119"/>
    </row>
    <row r="16" spans="1:7" ht="24" customHeight="1" thickBot="1" x14ac:dyDescent="0.25">
      <c r="A16" s="128" t="s">
        <v>209</v>
      </c>
      <c r="B16" s="121">
        <f>+B14+NPV(B15,C14:G14)</f>
        <v>1755742.0401428472</v>
      </c>
      <c r="C16" s="129"/>
      <c r="D16" s="129"/>
      <c r="E16" s="129"/>
      <c r="F16" s="129"/>
      <c r="G16" s="129"/>
    </row>
    <row r="17" spans="1:7" ht="24" customHeight="1" thickBot="1" x14ac:dyDescent="0.25">
      <c r="A17" s="117"/>
      <c r="B17" s="118"/>
      <c r="C17" s="119"/>
      <c r="D17" s="119"/>
      <c r="E17" s="119"/>
      <c r="F17" s="119"/>
      <c r="G17" s="119"/>
    </row>
    <row r="18" spans="1:7" ht="24" customHeight="1" thickBot="1" x14ac:dyDescent="0.25">
      <c r="A18" s="131"/>
      <c r="B18" s="127"/>
      <c r="C18" s="127"/>
      <c r="D18" s="127"/>
      <c r="E18" s="127"/>
      <c r="F18" s="127"/>
      <c r="G18" s="127"/>
    </row>
    <row r="19" spans="1:7" s="134" customFormat="1" ht="24" customHeight="1" thickBot="1" x14ac:dyDescent="0.3">
      <c r="A19" s="132"/>
      <c r="B19" s="133"/>
      <c r="C19" s="132"/>
      <c r="D19" s="132"/>
      <c r="E19" s="132"/>
      <c r="F19" s="132"/>
      <c r="G19" s="132"/>
    </row>
    <row r="20" spans="1:7" s="134" customFormat="1" ht="24" customHeight="1" thickBot="1" x14ac:dyDescent="0.3">
      <c r="A20" s="135"/>
      <c r="B20" s="136"/>
      <c r="C20" s="135"/>
      <c r="D20" s="135"/>
      <c r="E20" s="135"/>
      <c r="F20" s="135"/>
      <c r="G20" s="135"/>
    </row>
    <row r="21" spans="1:7" s="134" customFormat="1" ht="24" customHeight="1" thickBot="1" x14ac:dyDescent="0.3">
      <c r="A21" s="132"/>
      <c r="B21" s="137"/>
      <c r="C21" s="132"/>
      <c r="D21" s="132"/>
      <c r="E21" s="132"/>
      <c r="F21" s="132"/>
      <c r="G21" s="132"/>
    </row>
    <row r="22" spans="1:7" s="134" customFormat="1" ht="24" customHeight="1" x14ac:dyDescent="0.25"/>
    <row r="23" spans="1:7" ht="24" customHeight="1" x14ac:dyDescent="0.25">
      <c r="A23" s="138" t="s">
        <v>191</v>
      </c>
      <c r="C23" s="139"/>
      <c r="D23" s="139"/>
      <c r="E23" s="139"/>
      <c r="F23" s="139"/>
      <c r="G23" s="139"/>
    </row>
    <row r="24" spans="1:7" ht="24" customHeight="1" x14ac:dyDescent="0.25">
      <c r="A24" s="138" t="s">
        <v>192</v>
      </c>
      <c r="C24" s="139"/>
      <c r="D24" s="139"/>
      <c r="E24" s="139"/>
      <c r="F24" s="139"/>
      <c r="G24" s="139"/>
    </row>
    <row r="25" spans="1:7" ht="24" customHeight="1" x14ac:dyDescent="0.25">
      <c r="A25" s="138" t="s">
        <v>193</v>
      </c>
      <c r="C25" s="139"/>
      <c r="D25" s="139"/>
      <c r="E25" s="139"/>
      <c r="F25" s="139"/>
      <c r="G25" s="139"/>
    </row>
    <row r="26" spans="1:7" ht="24" customHeight="1" x14ac:dyDescent="0.25">
      <c r="A26" s="138" t="s">
        <v>194</v>
      </c>
      <c r="C26" s="140"/>
      <c r="D26" s="140"/>
      <c r="E26" s="140"/>
      <c r="F26" s="140"/>
      <c r="G26" s="140"/>
    </row>
    <row r="27" spans="1:7" ht="24" customHeight="1" x14ac:dyDescent="0.25">
      <c r="A27" s="138" t="s">
        <v>195</v>
      </c>
      <c r="C27" s="140"/>
      <c r="D27" s="140"/>
      <c r="E27" s="140"/>
      <c r="F27" s="140"/>
      <c r="G27" s="140"/>
    </row>
    <row r="28" spans="1:7" ht="24" customHeight="1" x14ac:dyDescent="0.25">
      <c r="A28" s="138" t="s">
        <v>196</v>
      </c>
      <c r="C28" s="141"/>
      <c r="D28" s="141"/>
      <c r="E28" s="141"/>
      <c r="F28" s="141"/>
      <c r="G28" s="141"/>
    </row>
    <row r="29" spans="1:7" ht="24" customHeight="1" x14ac:dyDescent="0.25">
      <c r="A29" s="138" t="s">
        <v>197</v>
      </c>
      <c r="B29" s="141"/>
      <c r="C29" s="141"/>
      <c r="D29" s="141"/>
      <c r="E29" s="141"/>
      <c r="F29" s="141"/>
      <c r="G29" s="141"/>
    </row>
    <row r="30" spans="1:7" ht="24" customHeight="1" x14ac:dyDescent="0.25">
      <c r="A30" s="138" t="s">
        <v>0</v>
      </c>
      <c r="B30" s="140"/>
      <c r="C30" s="142"/>
      <c r="D30" s="142"/>
      <c r="E30" s="142"/>
      <c r="F30" s="142"/>
      <c r="G30" s="142"/>
    </row>
    <row r="31" spans="1:7" ht="24" customHeight="1" x14ac:dyDescent="0.25">
      <c r="A31" s="138" t="s">
        <v>1</v>
      </c>
      <c r="B31" s="143"/>
      <c r="C31" s="142"/>
      <c r="D31" s="142"/>
      <c r="E31" s="142"/>
      <c r="F31" s="142"/>
      <c r="G31" s="142"/>
    </row>
    <row r="32" spans="1:7" ht="19" x14ac:dyDescent="0.25">
      <c r="A32" s="134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Bilanço</vt:lpstr>
      <vt:lpstr>Gelir Tablosu</vt:lpstr>
      <vt:lpstr>Verimsiz A.Ş.</vt:lpstr>
      <vt:lpstr>Pide A.Ş.</vt:lpstr>
      <vt:lpstr>Paranın zaman değeri</vt:lpstr>
      <vt:lpstr>Oyuncak A.Ş.</vt:lpstr>
      <vt:lpstr>Proje alternatifleri </vt:lpstr>
      <vt:lpstr>Lamba Projesi</vt:lpstr>
      <vt:lpstr>Yazıcı projesi</vt:lpstr>
    </vt:vector>
  </TitlesOfParts>
  <Company>UniCredit CAIB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cüneyt</dc:creator>
  <cp:lastModifiedBy>Mücahit Çağdaş</cp:lastModifiedBy>
  <dcterms:created xsi:type="dcterms:W3CDTF">2013-07-03T10:48:09Z</dcterms:created>
  <dcterms:modified xsi:type="dcterms:W3CDTF">2025-03-09T08:24:55Z</dcterms:modified>
</cp:coreProperties>
</file>